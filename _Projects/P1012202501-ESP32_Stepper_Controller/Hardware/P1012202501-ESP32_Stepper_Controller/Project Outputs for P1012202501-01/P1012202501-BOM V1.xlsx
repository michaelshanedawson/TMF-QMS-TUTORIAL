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1012202501-ESP32_Stepper_Cont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<sst xmlns="http://schemas.openxmlformats.org/spreadsheetml/2006/main" count="335" uniqueCount="254">
  <si>
    <t xml:space="preserve">Project:</t>
  </si>
  <si>
    <t xml:space="preserve">P1012202501-01</t>
  </si>
  <si>
    <t xml:space="preserve">Per board LV Cost</t>
  </si>
  <si>
    <t xml:space="preserve">Per board HV Cost</t>
  </si>
  <si>
    <t xml:space="preserve">BOM Version:</t>
  </si>
  <si>
    <t xml:space="preserve">Reference</t>
  </si>
  <si>
    <t xml:space="preserve">Qty</t>
  </si>
  <si>
    <t xml:space="preserve">Internal Part Number</t>
  </si>
  <si>
    <t xml:space="preserve">Manufacturer 1</t>
  </si>
  <si>
    <t xml:space="preserve">Manufacturer 1 P/N</t>
  </si>
  <si>
    <t xml:space="preserve">Vendor 1a</t>
  </si>
  <si>
    <t xml:space="preserve">Vendor 1a P/N</t>
  </si>
  <si>
    <t xml:space="preserve">Vendor 1a Cost LV</t>
  </si>
  <si>
    <t xml:space="preserve">Vendor 1a LV Extended</t>
  </si>
  <si>
    <t xml:space="preserve">Vendor 1a Cost HV</t>
  </si>
  <si>
    <t xml:space="preserve">Vendor 1a HV Extended</t>
  </si>
  <si>
    <t xml:space="preserve">Vendor 1b</t>
  </si>
  <si>
    <t xml:space="preserve">Vendor 1b P/N</t>
  </si>
  <si>
    <t xml:space="preserve">Vendor 1b Cost HV</t>
  </si>
  <si>
    <t xml:space="preserve">Vendor 1b Cost LV</t>
  </si>
  <si>
    <t xml:space="preserve">Notes</t>
  </si>
  <si>
    <t xml:space="preserve">C1,C2,C3,C4</t>
  </si>
  <si>
    <t xml:space="preserve">CC1206106050AAAX7R</t>
  </si>
  <si>
    <t xml:space="preserve">Samsung</t>
  </si>
  <si>
    <t xml:space="preserve">CL31B106KBHNNNE</t>
  </si>
  <si>
    <t xml:space="preserve">Mouser</t>
  </si>
  <si>
    <t xml:space="preserve">187-CL31B106KBHNNNE</t>
  </si>
  <si>
    <t xml:space="preserve">C5,C6,C11,C12,C15,C18,C20,C23,C24,C25,C28</t>
  </si>
  <si>
    <t xml:space="preserve">CC0603104050AAAX7R</t>
  </si>
  <si>
    <t xml:space="preserve">Yageo</t>
  </si>
  <si>
    <t xml:space="preserve">CC0603KRX7R9BB104</t>
  </si>
  <si>
    <t xml:space="preserve">603-CC603KRX7R9BB104</t>
  </si>
  <si>
    <t xml:space="preserve">C7,C8,C9,C10</t>
  </si>
  <si>
    <t xml:space="preserve">CC1210226025AAAX7R</t>
  </si>
  <si>
    <t xml:space="preserve">Taiyo Yuden</t>
  </si>
  <si>
    <t xml:space="preserve">TMK325B7226KM-PR</t>
  </si>
  <si>
    <t xml:space="preserve">963-TMK325B7226KM-PR</t>
  </si>
  <si>
    <t xml:space="preserve">C13,C14,C19,C21,C29</t>
  </si>
  <si>
    <t xml:space="preserve">CC0603226010AABX5R</t>
  </si>
  <si>
    <t xml:space="preserve">Murata</t>
  </si>
  <si>
    <t xml:space="preserve">GRM188R61A226ME15D</t>
  </si>
  <si>
    <t xml:space="preserve">81-GRM188R61A226ME5D</t>
  </si>
  <si>
    <t xml:space="preserve">C16,C17</t>
  </si>
  <si>
    <t xml:space="preserve">CC0805226025AABX5R</t>
  </si>
  <si>
    <t xml:space="preserve">CL21A226MAYNNNE</t>
  </si>
  <si>
    <t xml:space="preserve">187-CL21A226MAYNNNE </t>
  </si>
  <si>
    <t xml:space="preserve">C22</t>
  </si>
  <si>
    <t xml:space="preserve">CEA771MS107M1JLAS018</t>
  </si>
  <si>
    <t xml:space="preserve">KEMET</t>
  </si>
  <si>
    <t xml:space="preserve">A771MS107M1JLAS018</t>
  </si>
  <si>
    <t xml:space="preserve">80-A771MS107M1JLAS18</t>
  </si>
  <si>
    <t xml:space="preserve">C26</t>
  </si>
  <si>
    <t xml:space="preserve">CC0603103050AAAX7R</t>
  </si>
  <si>
    <t xml:space="preserve">GCM188R71H103KA37J</t>
  </si>
  <si>
    <t xml:space="preserve">81-GCM188R71H103KA7J</t>
  </si>
  <si>
    <t xml:space="preserve">C27</t>
  </si>
  <si>
    <t xml:space="preserve">CC0603474050AAAX7R</t>
  </si>
  <si>
    <t xml:space="preserve">TAIYO YUDEN</t>
  </si>
  <si>
    <t xml:space="preserve">UMK107B7474KA-TR</t>
  </si>
  <si>
    <t xml:space="preserve">963-UMK107B7474KA-TR</t>
  </si>
  <si>
    <t xml:space="preserve">CN1</t>
  </si>
  <si>
    <t xml:space="preserve">KPTBP04R1-500-02BE</t>
  </si>
  <si>
    <t xml:space="preserve">Same Sky</t>
  </si>
  <si>
    <t xml:space="preserve">TBP04R1-500-02BE</t>
  </si>
  <si>
    <t xml:space="preserve">179-TBP04R1-500-02BE</t>
  </si>
  <si>
    <t xml:space="preserve">CN2</t>
  </si>
  <si>
    <t xml:space="preserve">KPTBP04R1-500-03BE</t>
  </si>
  <si>
    <t xml:space="preserve">TBP04R1-500-03BE</t>
  </si>
  <si>
    <t xml:space="preserve">179-TBP04R1-500-03BE</t>
  </si>
  <si>
    <t xml:space="preserve">CN3,CN4,CN7</t>
  </si>
  <si>
    <t xml:space="preserve">KPTBP04R1-500-04BE</t>
  </si>
  <si>
    <t xml:space="preserve">TBP04R1-500-04BE</t>
  </si>
  <si>
    <t xml:space="preserve">179-TBP04R1-500-04BE</t>
  </si>
  <si>
    <t xml:space="preserve">CN5</t>
  </si>
  <si>
    <t xml:space="preserve">KUSB4105-GF-A</t>
  </si>
  <si>
    <t xml:space="preserve">GCT</t>
  </si>
  <si>
    <t xml:space="preserve">USB4105-GF-A</t>
  </si>
  <si>
    <t xml:space="preserve">640-USB4105-GF-A</t>
  </si>
  <si>
    <t xml:space="preserve">CN6</t>
  </si>
  <si>
    <t xml:space="preserve">KHS4B-PH-SM4-TB(LF)(SN)</t>
  </si>
  <si>
    <t xml:space="preserve">JST</t>
  </si>
  <si>
    <t xml:space="preserve">S4B-PH-SM4-TB(LF)(SN)</t>
  </si>
  <si>
    <t xml:space="preserve">306-S4BPHSM4TBLFSN</t>
  </si>
  <si>
    <t xml:space="preserve">D1,D2</t>
  </si>
  <si>
    <t xml:space="preserve">DLQ62702P5179</t>
  </si>
  <si>
    <t xml:space="preserve">OSRAM</t>
  </si>
  <si>
    <t xml:space="preserve">Q62702P5179</t>
  </si>
  <si>
    <t xml:space="preserve">720-Q62702P5179</t>
  </si>
  <si>
    <t xml:space="preserve">D3</t>
  </si>
  <si>
    <t xml:space="preserve">DSSS26SHE3_B_H</t>
  </si>
  <si>
    <t xml:space="preserve">Vishay</t>
  </si>
  <si>
    <t xml:space="preserve">SS26SHE3_B/H</t>
  </si>
  <si>
    <t xml:space="preserve">78-SS26SHE3_B/H</t>
  </si>
  <si>
    <t xml:space="preserve">D4,D5,D6,D7,D8</t>
  </si>
  <si>
    <t xml:space="preserve">TVSCDSOT23-SM712</t>
  </si>
  <si>
    <t xml:space="preserve">Bourns</t>
  </si>
  <si>
    <t xml:space="preserve">CDSOT23-SM712</t>
  </si>
  <si>
    <t xml:space="preserve">652-CDSOT23-SM712</t>
  </si>
  <si>
    <t xml:space="preserve">D9</t>
  </si>
  <si>
    <t xml:space="preserve">DLLS R976-NR-1</t>
  </si>
  <si>
    <t xml:space="preserve">LS R976-NR-1</t>
  </si>
  <si>
    <t xml:space="preserve">720-LSR976-NR-1</t>
  </si>
  <si>
    <t xml:space="preserve">IC1</t>
  </si>
  <si>
    <t xml:space="preserve">PMAP63203WU-7</t>
  </si>
  <si>
    <t xml:space="preserve">Diodes Incorporated</t>
  </si>
  <si>
    <t xml:space="preserve">AP63203WU-7</t>
  </si>
  <si>
    <t xml:space="preserve">621-AP63203WU-7</t>
  </si>
  <si>
    <t xml:space="preserve">IC2</t>
  </si>
  <si>
    <t xml:space="preserve">PMAP63205WU-7</t>
  </si>
  <si>
    <t xml:space="preserve">AP63205WU-7</t>
  </si>
  <si>
    <t xml:space="preserve">621-AP63205WU-7</t>
  </si>
  <si>
    <t xml:space="preserve">IC3</t>
  </si>
  <si>
    <t xml:space="preserve">ESP32-WROOM-32UE-N16</t>
  </si>
  <si>
    <t xml:space="preserve">Espressif</t>
  </si>
  <si>
    <t xml:space="preserve">356-ESP32WRM32UE28UH</t>
  </si>
  <si>
    <t xml:space="preserve">IC4</t>
  </si>
  <si>
    <t xml:space="preserve">USP3485CN-L/TR</t>
  </si>
  <si>
    <t xml:space="preserve">MaxLinear</t>
  </si>
  <si>
    <t xml:space="preserve">SP3485CN-L/TR</t>
  </si>
  <si>
    <t xml:space="preserve">701-SP3485CN-L/TR</t>
  </si>
  <si>
    <t xml:space="preserve">DigiKey</t>
  </si>
  <si>
    <t xml:space="preserve">1016-1816-1-ND</t>
  </si>
  <si>
    <t xml:space="preserve">IC5</t>
  </si>
  <si>
    <t xml:space="preserve">UCP2102C-A01-GQFN28</t>
  </si>
  <si>
    <t xml:space="preserve">Silicon Labs</t>
  </si>
  <si>
    <t xml:space="preserve">CP2102C-A01-GQFN28</t>
  </si>
  <si>
    <t xml:space="preserve">634-P2102CA01GQFN28</t>
  </si>
  <si>
    <t xml:space="preserve">IC6</t>
  </si>
  <si>
    <t xml:space="preserve">UDRV8825PWPR</t>
  </si>
  <si>
    <t xml:space="preserve">Texas Instruments</t>
  </si>
  <si>
    <t xml:space="preserve">DRV8825PWPR</t>
  </si>
  <si>
    <t xml:space="preserve">595-DRV8825PWPR</t>
  </si>
  <si>
    <t xml:space="preserve">IC7</t>
  </si>
  <si>
    <t xml:space="preserve">UTMP36GRTZ-REEL7</t>
  </si>
  <si>
    <t xml:space="preserve">Analog Devices</t>
  </si>
  <si>
    <t xml:space="preserve">TMP36GRTZ-REEL7</t>
  </si>
  <si>
    <t xml:space="preserve">584-TMP36GRTZ-R7</t>
  </si>
  <si>
    <t xml:space="preserve">J1,J2,J3</t>
  </si>
  <si>
    <t xml:space="preserve">KH22-28-5021</t>
  </si>
  <si>
    <t xml:space="preserve">Molex</t>
  </si>
  <si>
    <t xml:space="preserve">22-28-5021</t>
  </si>
  <si>
    <t xml:space="preserve">538-22-28-5021</t>
  </si>
  <si>
    <t xml:space="preserve">J4</t>
  </si>
  <si>
    <t xml:space="preserve">KH68001-406HLF</t>
  </si>
  <si>
    <t xml:space="preserve">Amphenol</t>
  </si>
  <si>
    <t xml:space="preserve">68001-406HLF</t>
  </si>
  <si>
    <t xml:space="preserve">649-68001-406HLF</t>
  </si>
  <si>
    <t xml:space="preserve">L1,L2</t>
  </si>
  <si>
    <t xml:space="preserve">LSRP2512-2R2M</t>
  </si>
  <si>
    <t xml:space="preserve">SRP2512-2R2M</t>
  </si>
  <si>
    <t xml:space="preserve">652-SRP2512-2R2M</t>
  </si>
  <si>
    <t xml:space="preserve">Q1,Q2,Q3,Q4,Q5,Q6</t>
  </si>
  <si>
    <t xml:space="preserve">QTCMT1600T3</t>
  </si>
  <si>
    <t xml:space="preserve">Vishay Semiconductors</t>
  </si>
  <si>
    <t xml:space="preserve">TCMT1600T3</t>
  </si>
  <si>
    <t xml:space="preserve">78-TCMT1600T3</t>
  </si>
  <si>
    <t xml:space="preserve">Q7</t>
  </si>
  <si>
    <t xml:space="preserve">QBC847BDW1T1G</t>
  </si>
  <si>
    <t xml:space="preserve">onsemi</t>
  </si>
  <si>
    <t xml:space="preserve">BC847BDW1T1G</t>
  </si>
  <si>
    <t xml:space="preserve">863-BC847BDW1T1G</t>
  </si>
  <si>
    <t xml:space="preserve">R1,R32</t>
  </si>
  <si>
    <t xml:space="preserve">RC0603330075AAA</t>
  </si>
  <si>
    <t xml:space="preserve">RT0603FRE13330RL</t>
  </si>
  <si>
    <t xml:space="preserve">603-RT0603FRE13330RL</t>
  </si>
  <si>
    <t xml:space="preserve">R2</t>
  </si>
  <si>
    <t xml:space="preserve">RC0603510075AAA</t>
  </si>
  <si>
    <t xml:space="preserve">SR0603FR-7W510RL</t>
  </si>
  <si>
    <t xml:space="preserve">603-SR0603FR-7W510RL</t>
  </si>
  <si>
    <t xml:space="preserve">R3</t>
  </si>
  <si>
    <t xml:space="preserve">RC0603682075AAA</t>
  </si>
  <si>
    <t xml:space="preserve">Panasonic</t>
  </si>
  <si>
    <t xml:space="preserve">ERA-3AEB682V</t>
  </si>
  <si>
    <t xml:space="preserve">667-ERA-3AEB682V</t>
  </si>
  <si>
    <t xml:space="preserve">R4,R20,R21,R23,R24,R30</t>
  </si>
  <si>
    <t xml:space="preserve">RC060310K2075AAA</t>
  </si>
  <si>
    <t xml:space="preserve">AC0603DRE0710KL</t>
  </si>
  <si>
    <t xml:space="preserve">603-AC0603DRE0710KL</t>
  </si>
  <si>
    <t xml:space="preserve">R5</t>
  </si>
  <si>
    <t xml:space="preserve">RC0805121150AAB</t>
  </si>
  <si>
    <t xml:space="preserve">ERJ-6GEYJ121V</t>
  </si>
  <si>
    <t xml:space="preserve">667-ERJ-6GEYJ121V</t>
  </si>
  <si>
    <t xml:space="preserve">R6,R7,R8,R12,R13,R14</t>
  </si>
  <si>
    <t xml:space="preserve">RC12101K2200AAC</t>
  </si>
  <si>
    <t xml:space="preserve">AC1210JR-071K2L</t>
  </si>
  <si>
    <t xml:space="preserve">603-AC1210JR-071K2L</t>
  </si>
  <si>
    <t xml:space="preserve">R9,R10,R11,R15,R16,R17</t>
  </si>
  <si>
    <t xml:space="preserve">RC06010K2075AAA</t>
  </si>
  <si>
    <t xml:space="preserve">R18</t>
  </si>
  <si>
    <t xml:space="preserve">RC060322K1075AAA</t>
  </si>
  <si>
    <t xml:space="preserve">CRCW060322K1FKEBC</t>
  </si>
  <si>
    <t xml:space="preserve">71-CRCW060322K1FKEBC</t>
  </si>
  <si>
    <t xml:space="preserve">R19</t>
  </si>
  <si>
    <t xml:space="preserve">RC060347K5075AAA</t>
  </si>
  <si>
    <t xml:space="preserve">ERA-3AEB4752V</t>
  </si>
  <si>
    <t xml:space="preserve">667-ERA-3AEB4752V</t>
  </si>
  <si>
    <t xml:space="preserve">R22,R31</t>
  </si>
  <si>
    <t xml:space="preserve">RC06031K0075AAA</t>
  </si>
  <si>
    <t xml:space="preserve">SR0603JR-071KL</t>
  </si>
  <si>
    <t xml:space="preserve">603-SR0603JR-071KL</t>
  </si>
  <si>
    <t xml:space="preserve">R25</t>
  </si>
  <si>
    <t xml:space="preserve">RC06031M0075AAA</t>
  </si>
  <si>
    <t xml:space="preserve">MCT0603MD1004BP500</t>
  </si>
  <si>
    <t xml:space="preserve">594-MCT0603MD1004BP5</t>
  </si>
  <si>
    <t xml:space="preserve">R26,R27</t>
  </si>
  <si>
    <t xml:space="preserve">RC08050R2075AAE</t>
  </si>
  <si>
    <t xml:space="preserve">RCWE0805R200FKEA</t>
  </si>
  <si>
    <t xml:space="preserve">71-RCWE0805R200FKEA</t>
  </si>
  <si>
    <t xml:space="preserve">R28</t>
  </si>
  <si>
    <t xml:space="preserve">RC060350K075AAA</t>
  </si>
  <si>
    <t xml:space="preserve">RT0603BRD0750KL</t>
  </si>
  <si>
    <t xml:space="preserve">603-RT0603BRD0750KL</t>
  </si>
  <si>
    <t xml:space="preserve">R29</t>
  </si>
  <si>
    <t xml:space="preserve">RC060330K075AAA</t>
  </si>
  <si>
    <t xml:space="preserve">ERA-3AED303V</t>
  </si>
  <si>
    <t xml:space="preserve">667-ERA-3AED303V</t>
  </si>
  <si>
    <t xml:space="preserve">S1,S2</t>
  </si>
  <si>
    <t xml:space="preserve">SW435151014845</t>
  </si>
  <si>
    <t xml:space="preserve">Wurth Elektronik</t>
  </si>
  <si>
    <t xml:space="preserve">710-435151014845</t>
  </si>
  <si>
    <t xml:space="preserve">TP1,TP2,TP3,TP4,TP5,TP6,TP7,TP10,TP11,TP12,TP13,TP14,TP15,TP16,TP17,TP18,TP19,TP20,TP21,TP22,TP23,TP24,TP25</t>
  </si>
  <si>
    <t xml:space="preserve">TP5010</t>
  </si>
  <si>
    <t xml:space="preserve">Keystone</t>
  </si>
  <si>
    <t xml:space="preserve">534-5010</t>
  </si>
  <si>
    <t xml:space="preserve">PCB</t>
  </si>
  <si>
    <t xml:space="preserve">P1012202501-PCB-01</t>
  </si>
  <si>
    <t xml:space="preserve">Jumper for J1</t>
  </si>
  <si>
    <t xml:space="preserve">JMP2POS1ROW254</t>
  </si>
  <si>
    <t xml:space="preserve">JM-2BK-61 </t>
  </si>
  <si>
    <t xml:space="preserve">306-JM-2BK-61 </t>
  </si>
  <si>
    <t xml:space="preserve">Plug for CN1</t>
  </si>
  <si>
    <t xml:space="preserve">KPTBP04P1-500-02BE</t>
  </si>
  <si>
    <t xml:space="preserve">TBP04P1-500-02BE</t>
  </si>
  <si>
    <t xml:space="preserve">179-TBP04P1-500-02BE</t>
  </si>
  <si>
    <t xml:space="preserve">Plug for CN2</t>
  </si>
  <si>
    <t xml:space="preserve">KPTBP04P1-500-03BE</t>
  </si>
  <si>
    <t xml:space="preserve">TBP04P1-500-03BE</t>
  </si>
  <si>
    <t xml:space="preserve">179-TBP04P1-500-03BE</t>
  </si>
  <si>
    <t xml:space="preserve">Plug for CN3, CN4, and CN7</t>
  </si>
  <si>
    <t xml:space="preserve">KPTBP04P1-500-04BE</t>
  </si>
  <si>
    <t xml:space="preserve">TBP04P1-500-04BE</t>
  </si>
  <si>
    <t xml:space="preserve">179-TBP04P1-500-04BE</t>
  </si>
  <si>
    <t xml:space="preserve">Plug for CN6</t>
  </si>
  <si>
    <t xml:space="preserve">KPPHR-4</t>
  </si>
  <si>
    <t xml:space="preserve">PHR-4</t>
  </si>
  <si>
    <t xml:space="preserve">306-PHR-4 </t>
  </si>
  <si>
    <t xml:space="preserve">Terminals for CN6 Plug</t>
  </si>
  <si>
    <t xml:space="preserve">PTSPH-002T-P0.5L</t>
  </si>
  <si>
    <t xml:space="preserve">SPH-002T-P0.5L</t>
  </si>
  <si>
    <t xml:space="preserve">306-SPH-002T-P0.5L </t>
  </si>
  <si>
    <t xml:space="preserve">Fan 1</t>
  </si>
  <si>
    <t xml:space="preserve">FANDC5V4040mmPWMTACH</t>
  </si>
  <si>
    <t xml:space="preserve">CFM-4010-03-22 </t>
  </si>
  <si>
    <t xml:space="preserve">490-CFM-4010-03-22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</si>
</sst>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211E"/>
        <bgColor rgb="FFFF3838"/>
      </patternFill>
    </fill>
    <fill>
      <patternFill patternType="solid">
        <fgColor rgb="FFFF3838"/>
        <bgColor rgb="FFFF4000"/>
      </patternFill>
    </fill>
    <fill>
      <patternFill patternType="solid">
        <fgColor rgb="FFFF5429"/>
        <bgColor rgb="FFFF4000"/>
      </patternFill>
    </fill>
    <fill>
      <patternFill patternType="solid">
        <fgColor rgb="FFFF4000"/>
        <bgColor rgb="FFFF383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8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400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429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E27" activeCellId="0" sqref="E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2.71"/>
    <col collapsed="false" customWidth="true" hidden="false" outlineLevel="0" max="2" min="2" style="1" width="4.48"/>
    <col collapsed="false" customWidth="true" hidden="false" outlineLevel="0" max="3" min="3" style="1" width="24.67"/>
    <col collapsed="false" customWidth="true" hidden="false" outlineLevel="0" max="4" min="4" style="1" width="20.77"/>
    <col collapsed="false" customWidth="true" hidden="false" outlineLevel="0" max="5" min="5" style="1" width="22.16"/>
    <col collapsed="false" customWidth="true" hidden="false" outlineLevel="0" max="6" min="6" style="1" width="9.79"/>
    <col collapsed="false" customWidth="true" hidden="false" outlineLevel="0" max="7" min="7" style="1" width="31.76"/>
    <col collapsed="false" customWidth="true" hidden="false" outlineLevel="0" max="8" min="8" style="2" width="16.89"/>
    <col collapsed="false" customWidth="true" hidden="false" outlineLevel="0" max="9" min="9" style="2" width="20.77"/>
    <col collapsed="false" customWidth="true" hidden="false" outlineLevel="0" max="10" min="10" style="2" width="17.15"/>
    <col collapsed="false" customWidth="true" hidden="false" outlineLevel="0" max="11" min="11" style="2" width="21.04"/>
    <col collapsed="false" customWidth="true" hidden="false" outlineLevel="0" max="12" min="12" style="1" width="9.79"/>
    <col collapsed="false" customWidth="true" hidden="false" outlineLevel="0" max="13" min="13" style="1" width="14.52"/>
    <col collapsed="false" customWidth="true" hidden="false" outlineLevel="0" max="14" min="14" style="1" width="17.15"/>
    <col collapsed="false" customWidth="true" hidden="false" outlineLevel="0" max="15" min="15" style="1" width="16.89"/>
    <col collapsed="false" customWidth="true" hidden="false" outlineLevel="0" max="16" min="16" style="1" width="14.52"/>
  </cols>
  <sheetData>
    <row r="1" customFormat="false" ht="12.8" hidden="false" customHeight="false" outlineLevel="0" collapsed="false">
      <c r="A1" s="3" t="s">
        <v>0</v>
      </c>
      <c r="B1" s="3"/>
      <c r="C1" s="4" t="s">
        <v>1</v>
      </c>
      <c r="H1" s="2" t="s">
        <v>2</v>
      </c>
      <c r="I1" s="2" t="n">
        <f aca="false">SUM(I6:I62)</f>
        <v>77.05</v>
      </c>
      <c r="J1" s="2" t="s">
        <v>3</v>
      </c>
      <c r="K1" s="2" t="n">
        <f aca="false">SUM(K6:K57)</f>
        <v>26.047</v>
      </c>
    </row>
    <row r="2" customFormat="false" ht="12.8" hidden="false" customHeight="false" outlineLevel="0" collapsed="false">
      <c r="A2" s="3" t="s">
        <v>4</v>
      </c>
      <c r="B2" s="3"/>
      <c r="C2" s="5" t="n">
        <v>1</v>
      </c>
    </row>
    <row r="5" customFormat="false" ht="12.8" hidden="false" customHeight="false" outlineLevel="0" collapsed="false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</row>
    <row r="6" s="9" customFormat="true" ht="12.8" hidden="false" customHeight="false" outlineLevel="0" collapsed="false">
      <c r="A6" s="7" t="s">
        <v>21</v>
      </c>
      <c r="B6" s="7" t="n">
        <v>4</v>
      </c>
      <c r="C6" s="7" t="s">
        <v>22</v>
      </c>
      <c r="D6" s="7" t="s">
        <v>23</v>
      </c>
      <c r="E6" s="7" t="s">
        <v>24</v>
      </c>
      <c r="F6" s="7" t="s">
        <v>25</v>
      </c>
      <c r="G6" s="7" t="s">
        <v>26</v>
      </c>
      <c r="H6" s="8" t="n">
        <v>0.22</v>
      </c>
      <c r="I6" s="8" t="n">
        <f aca="false">B6*H6</f>
        <v>0.88</v>
      </c>
      <c r="J6" s="8" t="n">
        <v>0.068</v>
      </c>
      <c r="K6" s="8" t="n">
        <f aca="false">B6*J6</f>
        <v>0.272</v>
      </c>
      <c r="L6" s="7"/>
      <c r="M6" s="7"/>
      <c r="N6" s="7"/>
      <c r="O6" s="7"/>
      <c r="P6" s="7"/>
    </row>
    <row r="7" s="9" customFormat="true" ht="12.8" hidden="false" customHeight="false" outlineLevel="0" collapsed="false">
      <c r="A7" s="7" t="s">
        <v>27</v>
      </c>
      <c r="B7" s="7" t="n">
        <v>11</v>
      </c>
      <c r="C7" s="7" t="s">
        <v>28</v>
      </c>
      <c r="D7" s="7" t="s">
        <v>29</v>
      </c>
      <c r="E7" s="7" t="s">
        <v>30</v>
      </c>
      <c r="F7" s="7" t="s">
        <v>25</v>
      </c>
      <c r="G7" s="7" t="s">
        <v>31</v>
      </c>
      <c r="H7" s="8" t="n">
        <v>0.1</v>
      </c>
      <c r="I7" s="8" t="n">
        <f aca="false">B7*H7</f>
        <v>1.1</v>
      </c>
      <c r="J7" s="8" t="n">
        <v>0.012</v>
      </c>
      <c r="K7" s="8" t="n">
        <f aca="false">B7*J7</f>
        <v>0.132</v>
      </c>
      <c r="L7" s="7"/>
      <c r="M7" s="7"/>
      <c r="N7" s="7"/>
      <c r="O7" s="7"/>
      <c r="P7" s="7"/>
    </row>
    <row r="8" s="9" customFormat="true" ht="12.8" hidden="false" customHeight="false" outlineLevel="0" collapsed="false">
      <c r="A8" s="7" t="s">
        <v>32</v>
      </c>
      <c r="B8" s="7" t="n">
        <v>4</v>
      </c>
      <c r="C8" s="7" t="s">
        <v>33</v>
      </c>
      <c r="D8" s="7" t="s">
        <v>34</v>
      </c>
      <c r="E8" s="7" t="s">
        <v>35</v>
      </c>
      <c r="F8" s="7" t="s">
        <v>25</v>
      </c>
      <c r="G8" s="7" t="s">
        <v>36</v>
      </c>
      <c r="H8" s="8" t="n">
        <v>0.6</v>
      </c>
      <c r="I8" s="8" t="n">
        <f aca="false">B8*H8</f>
        <v>2.4</v>
      </c>
      <c r="J8" s="8" t="n">
        <v>0.187</v>
      </c>
      <c r="K8" s="8" t="n">
        <f aca="false">B8*J8</f>
        <v>0.748</v>
      </c>
      <c r="L8" s="7"/>
      <c r="M8" s="7"/>
      <c r="N8" s="7"/>
      <c r="O8" s="7"/>
      <c r="P8" s="7"/>
    </row>
    <row r="9" s="9" customFormat="true" ht="12.8" hidden="false" customHeight="false" outlineLevel="0" collapsed="false">
      <c r="A9" s="7" t="s">
        <v>37</v>
      </c>
      <c r="B9" s="7" t="n">
        <v>5</v>
      </c>
      <c r="C9" s="7" t="s">
        <v>38</v>
      </c>
      <c r="D9" s="7" t="s">
        <v>39</v>
      </c>
      <c r="E9" s="7" t="s">
        <v>40</v>
      </c>
      <c r="F9" s="7" t="s">
        <v>25</v>
      </c>
      <c r="G9" s="7" t="s">
        <v>41</v>
      </c>
      <c r="H9" s="8" t="n">
        <v>0.1</v>
      </c>
      <c r="I9" s="8" t="n">
        <f aca="false">B9*H9</f>
        <v>0.5</v>
      </c>
      <c r="J9" s="8" t="n">
        <v>0.023</v>
      </c>
      <c r="K9" s="8" t="n">
        <f aca="false">B9*J9</f>
        <v>0.115</v>
      </c>
      <c r="L9" s="7"/>
      <c r="M9" s="7"/>
      <c r="N9" s="7"/>
      <c r="O9" s="7"/>
      <c r="P9" s="7"/>
    </row>
    <row r="10" s="9" customFormat="true" ht="12.8" hidden="false" customHeight="false" outlineLevel="0" collapsed="false">
      <c r="A10" s="7" t="s">
        <v>42</v>
      </c>
      <c r="B10" s="7" t="n">
        <v>2</v>
      </c>
      <c r="C10" s="7" t="s">
        <v>43</v>
      </c>
      <c r="D10" s="7" t="s">
        <v>23</v>
      </c>
      <c r="E10" s="7" t="s">
        <v>44</v>
      </c>
      <c r="F10" s="7" t="s">
        <v>25</v>
      </c>
      <c r="G10" s="7" t="s">
        <v>45</v>
      </c>
      <c r="H10" s="8" t="n">
        <v>0.1</v>
      </c>
      <c r="I10" s="8" t="n">
        <f aca="false">B10*H10</f>
        <v>0.2</v>
      </c>
      <c r="J10" s="8" t="n">
        <v>0.043</v>
      </c>
      <c r="K10" s="8" t="n">
        <f aca="false">B10*J10</f>
        <v>0.086</v>
      </c>
      <c r="L10" s="7"/>
      <c r="M10" s="7"/>
      <c r="N10" s="7"/>
      <c r="O10" s="7"/>
      <c r="P10" s="7"/>
    </row>
    <row r="11" s="9" customFormat="true" ht="12.8" hidden="false" customHeight="false" outlineLevel="0" collapsed="false">
      <c r="A11" s="7" t="s">
        <v>46</v>
      </c>
      <c r="B11" s="7" t="n">
        <v>1</v>
      </c>
      <c r="C11" s="7" t="s">
        <v>47</v>
      </c>
      <c r="D11" s="7" t="s">
        <v>48</v>
      </c>
      <c r="E11" s="7" t="s">
        <v>49</v>
      </c>
      <c r="F11" s="7" t="s">
        <v>25</v>
      </c>
      <c r="G11" s="7" t="s">
        <v>50</v>
      </c>
      <c r="H11" s="8" t="n">
        <v>1.49</v>
      </c>
      <c r="I11" s="8" t="n">
        <f aca="false">B11*H11</f>
        <v>1.49</v>
      </c>
      <c r="J11" s="8" t="n">
        <v>0.472</v>
      </c>
      <c r="K11" s="8" t="n">
        <f aca="false">B11*J11</f>
        <v>0.472</v>
      </c>
      <c r="L11" s="7"/>
      <c r="M11" s="7"/>
      <c r="N11" s="7"/>
      <c r="O11" s="7"/>
      <c r="P11" s="7"/>
    </row>
    <row r="12" s="9" customFormat="true" ht="12.8" hidden="false" customHeight="false" outlineLevel="0" collapsed="false">
      <c r="A12" s="7" t="s">
        <v>51</v>
      </c>
      <c r="B12" s="7" t="n">
        <v>1</v>
      </c>
      <c r="C12" s="7" t="s">
        <v>52</v>
      </c>
      <c r="D12" s="7" t="s">
        <v>39</v>
      </c>
      <c r="E12" s="7" t="s">
        <v>53</v>
      </c>
      <c r="F12" s="7" t="s">
        <v>25</v>
      </c>
      <c r="G12" s="7" t="s">
        <v>54</v>
      </c>
      <c r="H12" s="8" t="n">
        <v>0.1</v>
      </c>
      <c r="I12" s="8" t="n">
        <f aca="false">B12*H12</f>
        <v>0.1</v>
      </c>
      <c r="J12" s="8" t="n">
        <v>0.019</v>
      </c>
      <c r="K12" s="8" t="n">
        <f aca="false">B12*J12</f>
        <v>0.019</v>
      </c>
      <c r="L12" s="7"/>
      <c r="M12" s="7"/>
      <c r="N12" s="7"/>
      <c r="O12" s="7"/>
      <c r="P12" s="7"/>
    </row>
    <row r="13" s="9" customFormat="true" ht="12.8" hidden="false" customHeight="false" outlineLevel="0" collapsed="false">
      <c r="A13" s="7" t="s">
        <v>55</v>
      </c>
      <c r="B13" s="7" t="n">
        <v>1</v>
      </c>
      <c r="C13" s="7" t="s">
        <v>56</v>
      </c>
      <c r="D13" s="7" t="s">
        <v>57</v>
      </c>
      <c r="E13" s="7" t="s">
        <v>58</v>
      </c>
      <c r="F13" s="7" t="s">
        <v>25</v>
      </c>
      <c r="G13" s="7" t="s">
        <v>59</v>
      </c>
      <c r="H13" s="8" t="n">
        <v>0.15</v>
      </c>
      <c r="I13" s="8" t="n">
        <f aca="false">B13*H13</f>
        <v>0.15</v>
      </c>
      <c r="J13" s="8" t="n">
        <v>0.035</v>
      </c>
      <c r="K13" s="8" t="n">
        <f aca="false">B13*J13</f>
        <v>0.035</v>
      </c>
      <c r="L13" s="7"/>
      <c r="M13" s="7"/>
      <c r="N13" s="7"/>
      <c r="O13" s="7"/>
      <c r="P13" s="7"/>
    </row>
    <row r="14" customFormat="false" ht="12.8" hidden="false" customHeight="false" outlineLevel="0" collapsed="false">
      <c r="A14" s="4" t="s">
        <v>60</v>
      </c>
      <c r="B14" s="4" t="n">
        <v>1</v>
      </c>
      <c r="C14" s="4" t="s">
        <v>61</v>
      </c>
      <c r="D14" s="4" t="s">
        <v>62</v>
      </c>
      <c r="E14" s="4" t="s">
        <v>63</v>
      </c>
      <c r="F14" s="4" t="s">
        <v>25</v>
      </c>
      <c r="G14" s="4" t="s">
        <v>64</v>
      </c>
      <c r="H14" s="6" t="n">
        <v>0.33</v>
      </c>
      <c r="I14" s="6" t="n">
        <f aca="false">B14*H14</f>
        <v>0.33</v>
      </c>
      <c r="J14" s="6" t="n">
        <v>0.128</v>
      </c>
      <c r="K14" s="6" t="n">
        <f aca="false">B14*J14</f>
        <v>0.128</v>
      </c>
      <c r="L14" s="4"/>
      <c r="M14" s="4"/>
      <c r="N14" s="4"/>
      <c r="O14" s="4"/>
      <c r="P14" s="4"/>
    </row>
    <row r="15" customFormat="false" ht="12.8" hidden="false" customHeight="false" outlineLevel="0" collapsed="false">
      <c r="A15" s="4" t="s">
        <v>65</v>
      </c>
      <c r="B15" s="4" t="n">
        <v>1</v>
      </c>
      <c r="C15" s="4" t="s">
        <v>66</v>
      </c>
      <c r="D15" s="4" t="s">
        <v>62</v>
      </c>
      <c r="E15" s="4" t="s">
        <v>67</v>
      </c>
      <c r="F15" s="4" t="s">
        <v>25</v>
      </c>
      <c r="G15" s="4" t="s">
        <v>68</v>
      </c>
      <c r="H15" s="6" t="n">
        <v>0.48</v>
      </c>
      <c r="I15" s="6" t="n">
        <f aca="false">B15*H15</f>
        <v>0.48</v>
      </c>
      <c r="J15" s="6" t="n">
        <v>0.189</v>
      </c>
      <c r="K15" s="6" t="n">
        <f aca="false">B15*J15</f>
        <v>0.189</v>
      </c>
      <c r="L15" s="4"/>
      <c r="M15" s="4"/>
      <c r="N15" s="4"/>
      <c r="O15" s="4"/>
      <c r="P15" s="4"/>
    </row>
    <row r="16" customFormat="false" ht="12.8" hidden="false" customHeight="false" outlineLevel="0" collapsed="false">
      <c r="A16" s="4" t="s">
        <v>69</v>
      </c>
      <c r="B16" s="4" t="n">
        <v>3</v>
      </c>
      <c r="C16" s="4" t="s">
        <v>70</v>
      </c>
      <c r="D16" s="4" t="s">
        <v>62</v>
      </c>
      <c r="E16" s="4" t="s">
        <v>71</v>
      </c>
      <c r="F16" s="4" t="s">
        <v>25</v>
      </c>
      <c r="G16" s="4" t="s">
        <v>72</v>
      </c>
      <c r="H16" s="6" t="n">
        <v>0.62</v>
      </c>
      <c r="I16" s="6" t="n">
        <f aca="false">B16*H16</f>
        <v>1.86</v>
      </c>
      <c r="J16" s="6" t="n">
        <v>0.246</v>
      </c>
      <c r="K16" s="6" t="n">
        <f aca="false">B16*J16</f>
        <v>0.738</v>
      </c>
      <c r="L16" s="4"/>
      <c r="M16" s="4"/>
      <c r="N16" s="4"/>
      <c r="O16" s="4"/>
      <c r="P16" s="4"/>
    </row>
    <row r="17" s="9" customFormat="true" ht="12.8" hidden="false" customHeight="false" outlineLevel="0" collapsed="false">
      <c r="A17" s="7" t="s">
        <v>73</v>
      </c>
      <c r="B17" s="7" t="n">
        <v>1</v>
      </c>
      <c r="C17" s="7" t="s">
        <v>74</v>
      </c>
      <c r="D17" s="7" t="s">
        <v>75</v>
      </c>
      <c r="E17" s="7" t="s">
        <v>76</v>
      </c>
      <c r="F17" s="7" t="s">
        <v>25</v>
      </c>
      <c r="G17" s="7" t="s">
        <v>77</v>
      </c>
      <c r="H17" s="8" t="n">
        <v>0.78</v>
      </c>
      <c r="I17" s="8" t="n">
        <f aca="false">B17*H17</f>
        <v>0.78</v>
      </c>
      <c r="J17" s="8" t="n">
        <v>0.484</v>
      </c>
      <c r="K17" s="8" t="n">
        <f aca="false">B17*J17</f>
        <v>0.484</v>
      </c>
      <c r="L17" s="7"/>
      <c r="M17" s="7"/>
      <c r="N17" s="7"/>
      <c r="O17" s="7"/>
      <c r="P17" s="7"/>
    </row>
    <row r="18" customFormat="false" ht="12.8" hidden="false" customHeight="false" outlineLevel="0" collapsed="false">
      <c r="A18" s="4" t="s">
        <v>78</v>
      </c>
      <c r="B18" s="4" t="n">
        <v>1</v>
      </c>
      <c r="C18" s="4" t="s">
        <v>79</v>
      </c>
      <c r="D18" s="4" t="s">
        <v>80</v>
      </c>
      <c r="E18" s="4" t="s">
        <v>81</v>
      </c>
      <c r="F18" s="4" t="s">
        <v>25</v>
      </c>
      <c r="G18" s="4" t="s">
        <v>82</v>
      </c>
      <c r="H18" s="6" t="n">
        <v>0.79</v>
      </c>
      <c r="I18" s="6" t="n">
        <f aca="false">B18*H18</f>
        <v>0.79</v>
      </c>
      <c r="J18" s="6" t="n">
        <v>0.369</v>
      </c>
      <c r="K18" s="6" t="n">
        <f aca="false">B18*J18</f>
        <v>0.369</v>
      </c>
      <c r="L18" s="4"/>
      <c r="M18" s="4"/>
      <c r="N18" s="4"/>
      <c r="O18" s="4"/>
      <c r="P18" s="4"/>
    </row>
    <row r="19" s="9" customFormat="true" ht="12.8" hidden="false" customHeight="false" outlineLevel="0" collapsed="false">
      <c r="A19" s="7" t="s">
        <v>83</v>
      </c>
      <c r="B19" s="7" t="n">
        <v>2</v>
      </c>
      <c r="C19" s="7" t="s">
        <v>84</v>
      </c>
      <c r="D19" s="7" t="s">
        <v>85</v>
      </c>
      <c r="E19" s="7" t="s">
        <v>86</v>
      </c>
      <c r="F19" s="7" t="s">
        <v>25</v>
      </c>
      <c r="G19" s="7" t="s">
        <v>87</v>
      </c>
      <c r="H19" s="8" t="n">
        <v>0.27</v>
      </c>
      <c r="I19" s="8" t="n">
        <f aca="false">B19*H19</f>
        <v>0.54</v>
      </c>
      <c r="J19" s="8" t="n">
        <v>0.049</v>
      </c>
      <c r="K19" s="8" t="n">
        <f aca="false">B19*J19</f>
        <v>0.098</v>
      </c>
      <c r="L19" s="7"/>
      <c r="M19" s="7"/>
      <c r="N19" s="7"/>
      <c r="O19" s="7"/>
      <c r="P19" s="7"/>
    </row>
    <row r="20" s="9" customFormat="true" ht="12.8" hidden="false" customHeight="false" outlineLevel="0" collapsed="false">
      <c r="A20" s="7" t="s">
        <v>88</v>
      </c>
      <c r="B20" s="7" t="n">
        <v>1</v>
      </c>
      <c r="C20" s="7" t="s">
        <v>89</v>
      </c>
      <c r="D20" s="7" t="s">
        <v>90</v>
      </c>
      <c r="E20" s="7" t="s">
        <v>91</v>
      </c>
      <c r="F20" s="7" t="s">
        <v>25</v>
      </c>
      <c r="G20" s="7" t="s">
        <v>92</v>
      </c>
      <c r="H20" s="8" t="n">
        <v>0.36</v>
      </c>
      <c r="I20" s="8" t="n">
        <f aca="false">B20*H20</f>
        <v>0.36</v>
      </c>
      <c r="J20" s="8" t="n">
        <v>0.076</v>
      </c>
      <c r="K20" s="8" t="n">
        <f aca="false">B20*J20</f>
        <v>0.076</v>
      </c>
      <c r="L20" s="7"/>
      <c r="M20" s="7"/>
      <c r="N20" s="7"/>
      <c r="O20" s="7"/>
      <c r="P20" s="7"/>
    </row>
    <row r="21" s="9" customFormat="true" ht="12.8" hidden="false" customHeight="false" outlineLevel="0" collapsed="false">
      <c r="A21" s="7" t="s">
        <v>93</v>
      </c>
      <c r="B21" s="7" t="n">
        <v>5</v>
      </c>
      <c r="C21" s="7" t="s">
        <v>94</v>
      </c>
      <c r="D21" s="7" t="s">
        <v>95</v>
      </c>
      <c r="E21" s="7" t="s">
        <v>96</v>
      </c>
      <c r="F21" s="7" t="s">
        <v>25</v>
      </c>
      <c r="G21" s="7" t="s">
        <v>97</v>
      </c>
      <c r="H21" s="8" t="n">
        <v>1.11</v>
      </c>
      <c r="I21" s="8" t="n">
        <f aca="false">B21*H21</f>
        <v>5.55</v>
      </c>
      <c r="J21" s="8" t="n">
        <v>0.343</v>
      </c>
      <c r="K21" s="8" t="n">
        <f aca="false">B21*J21</f>
        <v>1.715</v>
      </c>
      <c r="L21" s="7"/>
      <c r="M21" s="7"/>
      <c r="N21" s="7"/>
      <c r="O21" s="7"/>
      <c r="P21" s="7"/>
    </row>
    <row r="22" s="9" customFormat="true" ht="12.8" hidden="false" customHeight="false" outlineLevel="0" collapsed="false">
      <c r="A22" s="7" t="s">
        <v>98</v>
      </c>
      <c r="B22" s="7" t="n">
        <v>1</v>
      </c>
      <c r="C22" s="7" t="s">
        <v>99</v>
      </c>
      <c r="D22" s="7" t="s">
        <v>85</v>
      </c>
      <c r="E22" s="7" t="s">
        <v>100</v>
      </c>
      <c r="F22" s="7" t="s">
        <v>25</v>
      </c>
      <c r="G22" s="7" t="s">
        <v>101</v>
      </c>
      <c r="H22" s="8" t="n">
        <v>0.15</v>
      </c>
      <c r="I22" s="8" t="n">
        <f aca="false">B22*H22</f>
        <v>0.15</v>
      </c>
      <c r="J22" s="8" t="n">
        <v>0.045</v>
      </c>
      <c r="K22" s="8" t="n">
        <f aca="false">B22*J22</f>
        <v>0.045</v>
      </c>
      <c r="L22" s="7"/>
      <c r="M22" s="7"/>
      <c r="N22" s="7"/>
      <c r="O22" s="7"/>
      <c r="P22" s="7"/>
    </row>
    <row r="23" s="9" customFormat="true" ht="12.8" hidden="false" customHeight="false" outlineLevel="0" collapsed="false">
      <c r="A23" s="7" t="s">
        <v>102</v>
      </c>
      <c r="B23" s="7" t="n">
        <v>1</v>
      </c>
      <c r="C23" s="7" t="s">
        <v>103</v>
      </c>
      <c r="D23" s="7" t="s">
        <v>104</v>
      </c>
      <c r="E23" s="7" t="s">
        <v>105</v>
      </c>
      <c r="F23" s="7" t="s">
        <v>25</v>
      </c>
      <c r="G23" s="7" t="s">
        <v>106</v>
      </c>
      <c r="H23" s="8" t="n">
        <v>0.71</v>
      </c>
      <c r="I23" s="8" t="n">
        <f aca="false">B23*H23</f>
        <v>0.71</v>
      </c>
      <c r="J23" s="8" t="n">
        <v>0.342</v>
      </c>
      <c r="K23" s="8" t="n">
        <f aca="false">B23*J23</f>
        <v>0.342</v>
      </c>
      <c r="L23" s="7"/>
      <c r="M23" s="7"/>
      <c r="N23" s="7"/>
      <c r="O23" s="7"/>
      <c r="P23" s="7"/>
    </row>
    <row r="24" s="9" customFormat="true" ht="12.8" hidden="false" customHeight="false" outlineLevel="0" collapsed="false">
      <c r="A24" s="7" t="s">
        <v>107</v>
      </c>
      <c r="B24" s="7" t="n">
        <v>1</v>
      </c>
      <c r="C24" s="7" t="s">
        <v>108</v>
      </c>
      <c r="D24" s="7" t="s">
        <v>104</v>
      </c>
      <c r="E24" s="7" t="s">
        <v>109</v>
      </c>
      <c r="F24" s="7" t="s">
        <v>25</v>
      </c>
      <c r="G24" s="7" t="s">
        <v>110</v>
      </c>
      <c r="H24" s="8" t="n">
        <v>0.71</v>
      </c>
      <c r="I24" s="8" t="n">
        <f aca="false">B24*H24</f>
        <v>0.71</v>
      </c>
      <c r="J24" s="8" t="n">
        <v>0.342</v>
      </c>
      <c r="K24" s="8" t="n">
        <f aca="false">B24*J24</f>
        <v>0.342</v>
      </c>
      <c r="L24" s="7"/>
      <c r="M24" s="7"/>
      <c r="N24" s="7"/>
      <c r="O24" s="7"/>
      <c r="P24" s="7"/>
    </row>
    <row r="25" s="9" customFormat="true" ht="12.8" hidden="false" customHeight="false" outlineLevel="0" collapsed="false">
      <c r="A25" s="7" t="s">
        <v>111</v>
      </c>
      <c r="B25" s="7" t="n">
        <v>1</v>
      </c>
      <c r="C25" s="7" t="s">
        <v>112</v>
      </c>
      <c r="D25" s="7" t="s">
        <v>113</v>
      </c>
      <c r="E25" s="7" t="s">
        <v>112</v>
      </c>
      <c r="F25" s="7" t="s">
        <v>25</v>
      </c>
      <c r="G25" s="7" t="s">
        <v>114</v>
      </c>
      <c r="H25" s="8" t="n">
        <v>6.71</v>
      </c>
      <c r="I25" s="8" t="n">
        <f aca="false">B25*H25</f>
        <v>6.71</v>
      </c>
      <c r="J25" s="8" t="n">
        <v>3.98</v>
      </c>
      <c r="K25" s="8" t="n">
        <f aca="false">B25*J25</f>
        <v>3.98</v>
      </c>
      <c r="L25" s="7"/>
      <c r="M25" s="7"/>
      <c r="N25" s="7"/>
      <c r="O25" s="7"/>
      <c r="P25" s="7"/>
    </row>
    <row r="26" s="9" customFormat="true" ht="12.8" hidden="false" customHeight="false" outlineLevel="0" collapsed="false">
      <c r="A26" s="7" t="s">
        <v>115</v>
      </c>
      <c r="B26" s="7" t="n">
        <v>1</v>
      </c>
      <c r="C26" s="7" t="s">
        <v>116</v>
      </c>
      <c r="D26" s="7" t="s">
        <v>117</v>
      </c>
      <c r="E26" s="7" t="s">
        <v>118</v>
      </c>
      <c r="F26" s="7" t="s">
        <v>25</v>
      </c>
      <c r="G26" s="7" t="s">
        <v>119</v>
      </c>
      <c r="H26" s="8" t="n">
        <v>0.81</v>
      </c>
      <c r="I26" s="8" t="n">
        <f aca="false">B26*H26</f>
        <v>0.81</v>
      </c>
      <c r="J26" s="8" t="n">
        <v>0.38</v>
      </c>
      <c r="K26" s="8" t="n">
        <f aca="false">B26*J26</f>
        <v>0.38</v>
      </c>
      <c r="L26" s="7" t="s">
        <v>120</v>
      </c>
      <c r="M26" s="7" t="s">
        <v>121</v>
      </c>
      <c r="N26" s="7" t="n">
        <v>0.39507</v>
      </c>
      <c r="O26" s="7" t="n">
        <v>0.81</v>
      </c>
      <c r="P26" s="7"/>
    </row>
    <row r="27" s="9" customFormat="true" ht="12.8" hidden="false" customHeight="false" outlineLevel="0" collapsed="false">
      <c r="A27" s="7" t="s">
        <v>122</v>
      </c>
      <c r="B27" s="7" t="n">
        <v>1</v>
      </c>
      <c r="C27" s="7" t="s">
        <v>123</v>
      </c>
      <c r="D27" s="7" t="s">
        <v>124</v>
      </c>
      <c r="E27" s="7" t="s">
        <v>125</v>
      </c>
      <c r="F27" s="7" t="s">
        <v>25</v>
      </c>
      <c r="G27" s="7" t="s">
        <v>126</v>
      </c>
      <c r="H27" s="8" t="n">
        <v>3.55</v>
      </c>
      <c r="I27" s="8" t="n">
        <f aca="false">B27*H27</f>
        <v>3.55</v>
      </c>
      <c r="J27" s="8" t="n">
        <v>1.31</v>
      </c>
      <c r="K27" s="8" t="n">
        <f aca="false">B27*J27</f>
        <v>1.31</v>
      </c>
      <c r="L27" s="7"/>
      <c r="M27" s="7"/>
      <c r="N27" s="7"/>
      <c r="O27" s="7"/>
      <c r="P27" s="7"/>
    </row>
    <row r="28" s="9" customFormat="true" ht="12.8" hidden="false" customHeight="false" outlineLevel="0" collapsed="false">
      <c r="A28" s="7" t="s">
        <v>127</v>
      </c>
      <c r="B28" s="7" t="n">
        <v>1</v>
      </c>
      <c r="C28" s="7" t="s">
        <v>128</v>
      </c>
      <c r="D28" s="7" t="s">
        <v>129</v>
      </c>
      <c r="E28" s="7" t="s">
        <v>130</v>
      </c>
      <c r="F28" s="7" t="s">
        <v>25</v>
      </c>
      <c r="G28" s="7" t="s">
        <v>131</v>
      </c>
      <c r="H28" s="8" t="n">
        <v>4.03</v>
      </c>
      <c r="I28" s="8" t="n">
        <f aca="false">B28*H28</f>
        <v>4.03</v>
      </c>
      <c r="J28" s="8" t="n">
        <v>2.4</v>
      </c>
      <c r="K28" s="8" t="n">
        <f aca="false">B28*J28</f>
        <v>2.4</v>
      </c>
      <c r="L28" s="7"/>
      <c r="M28" s="7"/>
      <c r="N28" s="7"/>
      <c r="O28" s="7"/>
      <c r="P28" s="7"/>
    </row>
    <row r="29" s="9" customFormat="true" ht="12.8" hidden="false" customHeight="false" outlineLevel="0" collapsed="false">
      <c r="A29" s="7" t="s">
        <v>132</v>
      </c>
      <c r="B29" s="7" t="n">
        <v>1</v>
      </c>
      <c r="C29" s="7" t="s">
        <v>133</v>
      </c>
      <c r="D29" s="7" t="s">
        <v>134</v>
      </c>
      <c r="E29" s="7" t="s">
        <v>135</v>
      </c>
      <c r="F29" s="7" t="s">
        <v>25</v>
      </c>
      <c r="G29" s="7" t="s">
        <v>136</v>
      </c>
      <c r="H29" s="8" t="n">
        <v>1.89</v>
      </c>
      <c r="I29" s="8" t="n">
        <f aca="false">B29*H29</f>
        <v>1.89</v>
      </c>
      <c r="J29" s="8" t="n">
        <v>1.22</v>
      </c>
      <c r="K29" s="8" t="n">
        <f aca="false">B29*J29</f>
        <v>1.22</v>
      </c>
      <c r="L29" s="7"/>
      <c r="M29" s="7"/>
      <c r="N29" s="7"/>
      <c r="O29" s="7"/>
      <c r="P29" s="7"/>
    </row>
    <row r="30" customFormat="false" ht="12.8" hidden="false" customHeight="false" outlineLevel="0" collapsed="false">
      <c r="A30" s="4" t="s">
        <v>137</v>
      </c>
      <c r="B30" s="4" t="n">
        <v>3</v>
      </c>
      <c r="C30" s="4" t="s">
        <v>138</v>
      </c>
      <c r="D30" s="4" t="s">
        <v>139</v>
      </c>
      <c r="E30" s="4" t="s">
        <v>140</v>
      </c>
      <c r="F30" s="4" t="s">
        <v>25</v>
      </c>
      <c r="G30" s="4" t="s">
        <v>141</v>
      </c>
      <c r="H30" s="6" t="n">
        <v>0.1</v>
      </c>
      <c r="I30" s="6" t="n">
        <f aca="false">B30*H30</f>
        <v>0.3</v>
      </c>
      <c r="J30" s="6" t="n">
        <v>0.071</v>
      </c>
      <c r="K30" s="6" t="n">
        <f aca="false">B30*J30</f>
        <v>0.213</v>
      </c>
      <c r="L30" s="4"/>
      <c r="M30" s="4"/>
      <c r="N30" s="4"/>
      <c r="O30" s="4"/>
      <c r="P30" s="4"/>
    </row>
    <row r="31" customFormat="false" ht="12.8" hidden="false" customHeight="false" outlineLevel="0" collapsed="false">
      <c r="A31" s="4" t="s">
        <v>142</v>
      </c>
      <c r="B31" s="4" t="n">
        <v>1</v>
      </c>
      <c r="C31" s="4" t="s">
        <v>143</v>
      </c>
      <c r="D31" s="4" t="s">
        <v>144</v>
      </c>
      <c r="E31" s="4" t="s">
        <v>145</v>
      </c>
      <c r="F31" s="4" t="s">
        <v>25</v>
      </c>
      <c r="G31" s="4" t="s">
        <v>146</v>
      </c>
      <c r="H31" s="6" t="n">
        <v>0.17</v>
      </c>
      <c r="I31" s="6" t="n">
        <f aca="false">B31*H31</f>
        <v>0.17</v>
      </c>
      <c r="J31" s="6" t="n">
        <v>0.163</v>
      </c>
      <c r="K31" s="6" t="n">
        <f aca="false">B31*J31</f>
        <v>0.163</v>
      </c>
      <c r="L31" s="4"/>
      <c r="M31" s="4"/>
      <c r="N31" s="4"/>
      <c r="O31" s="4"/>
      <c r="P31" s="4"/>
    </row>
    <row r="32" s="12" customFormat="true" ht="12.8" hidden="false" customHeight="false" outlineLevel="0" collapsed="false">
      <c r="A32" s="10" t="s">
        <v>147</v>
      </c>
      <c r="B32" s="10" t="n">
        <v>2</v>
      </c>
      <c r="C32" s="10" t="s">
        <v>148</v>
      </c>
      <c r="D32" s="10" t="s">
        <v>95</v>
      </c>
      <c r="E32" s="10" t="s">
        <v>149</v>
      </c>
      <c r="F32" s="10" t="s">
        <v>25</v>
      </c>
      <c r="G32" s="10" t="s">
        <v>150</v>
      </c>
      <c r="H32" s="11" t="n">
        <v>0.33</v>
      </c>
      <c r="I32" s="11" t="n">
        <f aca="false">B32*H32</f>
        <v>0.66</v>
      </c>
      <c r="J32" s="11" t="n">
        <v>0.199</v>
      </c>
      <c r="K32" s="11" t="n">
        <f aca="false">B32*J32</f>
        <v>0.398</v>
      </c>
      <c r="L32" s="10"/>
      <c r="M32" s="10"/>
      <c r="N32" s="10"/>
      <c r="O32" s="10"/>
      <c r="P32" s="10"/>
    </row>
    <row r="33" s="9" customFormat="true" ht="12.8" hidden="false" customHeight="false" outlineLevel="0" collapsed="false">
      <c r="A33" s="7" t="s">
        <v>151</v>
      </c>
      <c r="B33" s="7" t="n">
        <v>6</v>
      </c>
      <c r="C33" s="7" t="s">
        <v>152</v>
      </c>
      <c r="D33" s="7" t="s">
        <v>153</v>
      </c>
      <c r="E33" s="7" t="s">
        <v>154</v>
      </c>
      <c r="F33" s="7" t="s">
        <v>25</v>
      </c>
      <c r="G33" s="7" t="s">
        <v>155</v>
      </c>
      <c r="H33" s="8" t="n">
        <v>0.76</v>
      </c>
      <c r="I33" s="8" t="n">
        <f aca="false">B33*H33</f>
        <v>4.56</v>
      </c>
      <c r="J33" s="8" t="n">
        <v>0.303</v>
      </c>
      <c r="K33" s="8" t="n">
        <f aca="false">B33*J33</f>
        <v>1.818</v>
      </c>
      <c r="L33" s="7"/>
      <c r="M33" s="7"/>
      <c r="N33" s="7"/>
      <c r="O33" s="7"/>
      <c r="P33" s="7"/>
    </row>
    <row r="34" s="9" customFormat="true" ht="12.8" hidden="false" customHeight="false" outlineLevel="0" collapsed="false">
      <c r="A34" s="7" t="s">
        <v>156</v>
      </c>
      <c r="B34" s="7" t="n">
        <v>1</v>
      </c>
      <c r="C34" s="7" t="s">
        <v>157</v>
      </c>
      <c r="D34" s="7" t="s">
        <v>158</v>
      </c>
      <c r="E34" s="7" t="s">
        <v>159</v>
      </c>
      <c r="F34" s="7" t="s">
        <v>25</v>
      </c>
      <c r="G34" s="7" t="s">
        <v>160</v>
      </c>
      <c r="H34" s="8" t="n">
        <v>0.14</v>
      </c>
      <c r="I34" s="8" t="n">
        <f aca="false">B34*H34</f>
        <v>0.14</v>
      </c>
      <c r="J34" s="8" t="n">
        <v>0.42</v>
      </c>
      <c r="K34" s="8" t="n">
        <f aca="false">B34*J34</f>
        <v>0.42</v>
      </c>
      <c r="L34" s="7"/>
      <c r="M34" s="7"/>
      <c r="N34" s="7"/>
      <c r="O34" s="7"/>
      <c r="P34" s="7"/>
    </row>
    <row r="35" s="9" customFormat="true" ht="12.8" hidden="false" customHeight="false" outlineLevel="0" collapsed="false">
      <c r="A35" s="7" t="s">
        <v>161</v>
      </c>
      <c r="B35" s="7" t="n">
        <v>2</v>
      </c>
      <c r="C35" s="7" t="s">
        <v>162</v>
      </c>
      <c r="D35" s="7" t="s">
        <v>29</v>
      </c>
      <c r="E35" s="7" t="s">
        <v>163</v>
      </c>
      <c r="F35" s="7" t="s">
        <v>25</v>
      </c>
      <c r="G35" s="7" t="s">
        <v>164</v>
      </c>
      <c r="H35" s="8" t="n">
        <v>0.19</v>
      </c>
      <c r="I35" s="8" t="n">
        <f aca="false">B35*H35</f>
        <v>0.38</v>
      </c>
      <c r="J35" s="8" t="n">
        <v>0.015</v>
      </c>
      <c r="K35" s="8" t="n">
        <f aca="false">B35*J35</f>
        <v>0.03</v>
      </c>
      <c r="L35" s="7"/>
      <c r="M35" s="7"/>
      <c r="N35" s="7"/>
      <c r="O35" s="7"/>
      <c r="P35" s="7"/>
    </row>
    <row r="36" s="9" customFormat="true" ht="12.8" hidden="false" customHeight="false" outlineLevel="0" collapsed="false">
      <c r="A36" s="7" t="s">
        <v>165</v>
      </c>
      <c r="B36" s="7" t="n">
        <v>1</v>
      </c>
      <c r="C36" s="7" t="s">
        <v>166</v>
      </c>
      <c r="D36" s="7" t="s">
        <v>29</v>
      </c>
      <c r="E36" s="7" t="s">
        <v>167</v>
      </c>
      <c r="F36" s="7" t="s">
        <v>25</v>
      </c>
      <c r="G36" s="7" t="s">
        <v>168</v>
      </c>
      <c r="H36" s="8" t="n">
        <v>0.1</v>
      </c>
      <c r="I36" s="8" t="n">
        <f aca="false">B36*H36</f>
        <v>0.1</v>
      </c>
      <c r="J36" s="8" t="n">
        <v>0.021</v>
      </c>
      <c r="K36" s="8" t="n">
        <f aca="false">B36*J36</f>
        <v>0.021</v>
      </c>
      <c r="L36" s="7"/>
      <c r="M36" s="7"/>
      <c r="N36" s="7"/>
      <c r="O36" s="7"/>
      <c r="P36" s="7"/>
    </row>
    <row r="37" s="9" customFormat="true" ht="12.8" hidden="false" customHeight="false" outlineLevel="0" collapsed="false">
      <c r="A37" s="7" t="s">
        <v>169</v>
      </c>
      <c r="B37" s="7" t="n">
        <v>1</v>
      </c>
      <c r="C37" s="7" t="s">
        <v>170</v>
      </c>
      <c r="D37" s="7" t="s">
        <v>171</v>
      </c>
      <c r="E37" s="7" t="s">
        <v>172</v>
      </c>
      <c r="F37" s="7" t="s">
        <v>25</v>
      </c>
      <c r="G37" s="7" t="s">
        <v>173</v>
      </c>
      <c r="H37" s="8" t="n">
        <v>0.1</v>
      </c>
      <c r="I37" s="8" t="n">
        <f aca="false">B37*H37</f>
        <v>0.1</v>
      </c>
      <c r="J37" s="8" t="n">
        <v>0.043</v>
      </c>
      <c r="K37" s="8" t="n">
        <f aca="false">B37*J37</f>
        <v>0.043</v>
      </c>
      <c r="L37" s="7"/>
      <c r="M37" s="7"/>
      <c r="N37" s="7"/>
      <c r="O37" s="7"/>
      <c r="P37" s="7"/>
    </row>
    <row r="38" s="15" customFormat="true" ht="12.8" hidden="false" customHeight="false" outlineLevel="0" collapsed="false">
      <c r="A38" s="13" t="s">
        <v>174</v>
      </c>
      <c r="B38" s="13" t="n">
        <v>6</v>
      </c>
      <c r="C38" s="13" t="s">
        <v>175</v>
      </c>
      <c r="D38" s="13" t="s">
        <v>29</v>
      </c>
      <c r="E38" s="13" t="s">
        <v>176</v>
      </c>
      <c r="F38" s="13" t="s">
        <v>25</v>
      </c>
      <c r="G38" s="13" t="s">
        <v>177</v>
      </c>
      <c r="H38" s="14" t="n">
        <v>0.11</v>
      </c>
      <c r="I38" s="14" t="n">
        <f aca="false">B38*H38</f>
        <v>0.66</v>
      </c>
      <c r="J38" s="14" t="n">
        <v>0.031</v>
      </c>
      <c r="K38" s="14" t="n">
        <f aca="false">B38*J38</f>
        <v>0.186</v>
      </c>
      <c r="L38" s="13"/>
      <c r="M38" s="13"/>
      <c r="N38" s="13"/>
      <c r="O38" s="13"/>
      <c r="P38" s="13"/>
    </row>
    <row r="39" s="9" customFormat="true" ht="12.8" hidden="false" customHeight="false" outlineLevel="0" collapsed="false">
      <c r="A39" s="7" t="s">
        <v>178</v>
      </c>
      <c r="B39" s="7" t="n">
        <v>1</v>
      </c>
      <c r="C39" s="7" t="s">
        <v>179</v>
      </c>
      <c r="D39" s="7" t="s">
        <v>171</v>
      </c>
      <c r="E39" s="7" t="s">
        <v>180</v>
      </c>
      <c r="F39" s="7" t="s">
        <v>25</v>
      </c>
      <c r="G39" s="7" t="s">
        <v>181</v>
      </c>
      <c r="H39" s="8" t="n">
        <v>0.1</v>
      </c>
      <c r="I39" s="8" t="n">
        <f aca="false">B39*H39</f>
        <v>0.1</v>
      </c>
      <c r="J39" s="8" t="n">
        <v>0.013</v>
      </c>
      <c r="K39" s="8" t="n">
        <f aca="false">B39*J39</f>
        <v>0.013</v>
      </c>
      <c r="L39" s="7"/>
      <c r="M39" s="7"/>
      <c r="N39" s="7"/>
      <c r="O39" s="7"/>
      <c r="P39" s="7"/>
    </row>
    <row r="40" s="9" customFormat="true" ht="12.8" hidden="false" customHeight="false" outlineLevel="0" collapsed="false">
      <c r="A40" s="7" t="s">
        <v>182</v>
      </c>
      <c r="B40" s="7" t="n">
        <v>6</v>
      </c>
      <c r="C40" s="7" t="s">
        <v>183</v>
      </c>
      <c r="D40" s="7" t="s">
        <v>29</v>
      </c>
      <c r="E40" s="7" t="s">
        <v>184</v>
      </c>
      <c r="F40" s="7" t="s">
        <v>25</v>
      </c>
      <c r="G40" s="7" t="s">
        <v>185</v>
      </c>
      <c r="H40" s="8" t="n">
        <v>0.12</v>
      </c>
      <c r="I40" s="8" t="n">
        <f aca="false">B40*H40</f>
        <v>0.72</v>
      </c>
      <c r="J40" s="8" t="n">
        <v>0.041</v>
      </c>
      <c r="K40" s="8" t="n">
        <f aca="false">B40*J40</f>
        <v>0.246</v>
      </c>
      <c r="L40" s="7"/>
      <c r="M40" s="7"/>
      <c r="N40" s="7"/>
      <c r="O40" s="7"/>
      <c r="P40" s="7"/>
    </row>
    <row r="41" s="18" customFormat="true" ht="12.8" hidden="false" customHeight="false" outlineLevel="0" collapsed="false">
      <c r="A41" s="16" t="s">
        <v>186</v>
      </c>
      <c r="B41" s="16" t="n">
        <v>6</v>
      </c>
      <c r="C41" s="16" t="s">
        <v>187</v>
      </c>
      <c r="D41" s="16" t="s">
        <v>29</v>
      </c>
      <c r="E41" s="16" t="s">
        <v>176</v>
      </c>
      <c r="F41" s="16" t="s">
        <v>25</v>
      </c>
      <c r="G41" s="16" t="s">
        <v>177</v>
      </c>
      <c r="H41" s="17" t="n">
        <v>0.11</v>
      </c>
      <c r="I41" s="17" t="n">
        <f aca="false">B41*H41</f>
        <v>0.66</v>
      </c>
      <c r="J41" s="17" t="n">
        <v>0.031</v>
      </c>
      <c r="K41" s="17" t="n">
        <f aca="false">B41*J41</f>
        <v>0.186</v>
      </c>
      <c r="L41" s="16"/>
      <c r="M41" s="16"/>
      <c r="N41" s="16"/>
      <c r="O41" s="16"/>
      <c r="P41" s="16"/>
    </row>
    <row r="42" s="9" customFormat="true" ht="12.8" hidden="false" customHeight="false" outlineLevel="0" collapsed="false">
      <c r="A42" s="7" t="s">
        <v>188</v>
      </c>
      <c r="B42" s="7" t="n">
        <v>1</v>
      </c>
      <c r="C42" s="7" t="s">
        <v>189</v>
      </c>
      <c r="D42" s="7" t="s">
        <v>90</v>
      </c>
      <c r="E42" s="7" t="s">
        <v>190</v>
      </c>
      <c r="F42" s="7" t="s">
        <v>25</v>
      </c>
      <c r="G42" s="7" t="s">
        <v>191</v>
      </c>
      <c r="H42" s="8" t="n">
        <v>0.11</v>
      </c>
      <c r="I42" s="8" t="n">
        <f aca="false">B42*H42</f>
        <v>0.11</v>
      </c>
      <c r="J42" s="8" t="n">
        <v>0.009</v>
      </c>
      <c r="K42" s="8" t="n">
        <f aca="false">B42*J42</f>
        <v>0.009</v>
      </c>
      <c r="L42" s="7"/>
      <c r="M42" s="7"/>
      <c r="N42" s="7"/>
      <c r="O42" s="7"/>
      <c r="P42" s="7"/>
    </row>
    <row r="43" s="21" customFormat="true" ht="12.8" hidden="false" customHeight="false" outlineLevel="0" collapsed="false">
      <c r="A43" s="19" t="s">
        <v>192</v>
      </c>
      <c r="B43" s="19" t="n">
        <v>1</v>
      </c>
      <c r="C43" s="19" t="s">
        <v>193</v>
      </c>
      <c r="D43" s="19" t="s">
        <v>171</v>
      </c>
      <c r="E43" s="19" t="s">
        <v>194</v>
      </c>
      <c r="F43" s="19" t="s">
        <v>25</v>
      </c>
      <c r="G43" s="19" t="s">
        <v>195</v>
      </c>
      <c r="H43" s="20" t="n">
        <v>0.1</v>
      </c>
      <c r="I43" s="20" t="n">
        <f aca="false">B43*H43</f>
        <v>0.1</v>
      </c>
      <c r="J43" s="20" t="n">
        <v>0.042</v>
      </c>
      <c r="K43" s="20" t="n">
        <f aca="false">B43*J43</f>
        <v>0.042</v>
      </c>
      <c r="L43" s="19"/>
      <c r="M43" s="19"/>
      <c r="N43" s="19"/>
      <c r="O43" s="19"/>
      <c r="P43" s="19"/>
    </row>
    <row r="44" s="9" customFormat="true" ht="12.8" hidden="false" customHeight="false" outlineLevel="0" collapsed="false">
      <c r="A44" s="7" t="s">
        <v>196</v>
      </c>
      <c r="B44" s="7" t="n">
        <v>2</v>
      </c>
      <c r="C44" s="7" t="s">
        <v>197</v>
      </c>
      <c r="D44" s="7" t="s">
        <v>29</v>
      </c>
      <c r="E44" s="7" t="s">
        <v>198</v>
      </c>
      <c r="F44" s="7" t="s">
        <v>25</v>
      </c>
      <c r="G44" s="7" t="s">
        <v>199</v>
      </c>
      <c r="H44" s="8" t="n">
        <v>0.11</v>
      </c>
      <c r="I44" s="8" t="n">
        <f aca="false">B44*H44</f>
        <v>0.22</v>
      </c>
      <c r="J44" s="8" t="n">
        <v>0.031</v>
      </c>
      <c r="K44" s="8" t="n">
        <f aca="false">B44*J44</f>
        <v>0.062</v>
      </c>
      <c r="L44" s="7"/>
      <c r="M44" s="7"/>
      <c r="N44" s="7"/>
      <c r="O44" s="7"/>
      <c r="P44" s="7"/>
    </row>
    <row r="45" s="9" customFormat="true" ht="12.8" hidden="false" customHeight="false" outlineLevel="0" collapsed="false">
      <c r="A45" s="7" t="s">
        <v>200</v>
      </c>
      <c r="B45" s="7" t="n">
        <v>1</v>
      </c>
      <c r="C45" s="7" t="s">
        <v>201</v>
      </c>
      <c r="D45" s="7" t="s">
        <v>90</v>
      </c>
      <c r="E45" s="7" t="s">
        <v>202</v>
      </c>
      <c r="F45" s="7" t="s">
        <v>25</v>
      </c>
      <c r="G45" s="7" t="s">
        <v>203</v>
      </c>
      <c r="H45" s="8" t="n">
        <v>0.24</v>
      </c>
      <c r="I45" s="8" t="n">
        <f aca="false">B45*H45</f>
        <v>0.24</v>
      </c>
      <c r="J45" s="8" t="n">
        <v>0.139</v>
      </c>
      <c r="K45" s="8" t="n">
        <f aca="false">B45*J45</f>
        <v>0.139</v>
      </c>
      <c r="L45" s="7"/>
      <c r="M45" s="7"/>
      <c r="N45" s="7"/>
      <c r="O45" s="7"/>
      <c r="P45" s="7"/>
    </row>
    <row r="46" s="9" customFormat="true" ht="12.8" hidden="false" customHeight="false" outlineLevel="0" collapsed="false">
      <c r="A46" s="7" t="s">
        <v>204</v>
      </c>
      <c r="B46" s="7" t="n">
        <v>2</v>
      </c>
      <c r="C46" s="7" t="s">
        <v>205</v>
      </c>
      <c r="D46" s="7" t="s">
        <v>90</v>
      </c>
      <c r="E46" s="7" t="s">
        <v>206</v>
      </c>
      <c r="F46" s="7" t="s">
        <v>25</v>
      </c>
      <c r="G46" s="7" t="s">
        <v>207</v>
      </c>
      <c r="H46" s="8" t="n">
        <v>0.17</v>
      </c>
      <c r="I46" s="8" t="n">
        <f aca="false">B46*H46</f>
        <v>0.34</v>
      </c>
      <c r="J46" s="8" t="n">
        <v>0.051</v>
      </c>
      <c r="K46" s="8" t="n">
        <f aca="false">B46*J46</f>
        <v>0.102</v>
      </c>
      <c r="L46" s="7"/>
      <c r="M46" s="7"/>
      <c r="N46" s="7"/>
      <c r="O46" s="7"/>
      <c r="P46" s="7"/>
    </row>
    <row r="47" s="9" customFormat="true" ht="12.8" hidden="false" customHeight="false" outlineLevel="0" collapsed="false">
      <c r="A47" s="7" t="s">
        <v>208</v>
      </c>
      <c r="B47" s="7" t="n">
        <v>1</v>
      </c>
      <c r="C47" s="7" t="s">
        <v>209</v>
      </c>
      <c r="D47" s="7" t="s">
        <v>29</v>
      </c>
      <c r="E47" s="7" t="s">
        <v>210</v>
      </c>
      <c r="F47" s="7" t="s">
        <v>25</v>
      </c>
      <c r="G47" s="7" t="s">
        <v>211</v>
      </c>
      <c r="H47" s="8" t="n">
        <v>0.14</v>
      </c>
      <c r="I47" s="8" t="n">
        <f aca="false">B47*H47</f>
        <v>0.14</v>
      </c>
      <c r="J47" s="8" t="n">
        <v>0.052</v>
      </c>
      <c r="K47" s="8" t="n">
        <f aca="false">B47*J47</f>
        <v>0.052</v>
      </c>
      <c r="L47" s="7"/>
      <c r="M47" s="7"/>
      <c r="N47" s="7"/>
      <c r="O47" s="7"/>
      <c r="P47" s="7"/>
    </row>
    <row r="48" s="9" customFormat="true" ht="12.8" hidden="false" customHeight="false" outlineLevel="0" collapsed="false">
      <c r="A48" s="7" t="s">
        <v>212</v>
      </c>
      <c r="B48" s="7" t="n">
        <v>1</v>
      </c>
      <c r="C48" s="7" t="s">
        <v>213</v>
      </c>
      <c r="D48" s="7" t="s">
        <v>171</v>
      </c>
      <c r="E48" s="7" t="s">
        <v>214</v>
      </c>
      <c r="F48" s="7" t="s">
        <v>25</v>
      </c>
      <c r="G48" s="7" t="s">
        <v>215</v>
      </c>
      <c r="H48" s="8" t="n">
        <v>0.17</v>
      </c>
      <c r="I48" s="8" t="n">
        <f aca="false">B48*H48</f>
        <v>0.17</v>
      </c>
      <c r="J48" s="8" t="n">
        <v>0.048</v>
      </c>
      <c r="K48" s="8" t="n">
        <f aca="false">B48*J48</f>
        <v>0.048</v>
      </c>
      <c r="L48" s="7"/>
      <c r="M48" s="7"/>
      <c r="N48" s="7"/>
      <c r="O48" s="7"/>
      <c r="P48" s="7"/>
    </row>
    <row r="49" s="9" customFormat="true" ht="12.8" hidden="false" customHeight="false" outlineLevel="0" collapsed="false">
      <c r="A49" s="7" t="s">
        <v>216</v>
      </c>
      <c r="B49" s="7" t="n">
        <v>2</v>
      </c>
      <c r="C49" s="7" t="s">
        <v>217</v>
      </c>
      <c r="D49" s="7" t="s">
        <v>218</v>
      </c>
      <c r="E49" s="7" t="n">
        <v>435151014845</v>
      </c>
      <c r="F49" s="7" t="s">
        <v>25</v>
      </c>
      <c r="G49" s="7" t="s">
        <v>219</v>
      </c>
      <c r="H49" s="8" t="n">
        <v>0.54</v>
      </c>
      <c r="I49" s="8" t="n">
        <f aca="false">B49*H49</f>
        <v>1.08</v>
      </c>
      <c r="J49" s="8" t="n">
        <v>0.363</v>
      </c>
      <c r="K49" s="8" t="n">
        <f aca="false">B49*J49</f>
        <v>0.726</v>
      </c>
      <c r="L49" s="7"/>
      <c r="M49" s="7"/>
      <c r="N49" s="7"/>
      <c r="O49" s="7"/>
      <c r="P49" s="7"/>
    </row>
    <row r="50" customFormat="false" ht="12.8" hidden="false" customHeight="false" outlineLevel="0" collapsed="false">
      <c r="A50" s="4" t="s">
        <v>220</v>
      </c>
      <c r="B50" s="4" t="n">
        <v>23</v>
      </c>
      <c r="C50" s="4" t="s">
        <v>221</v>
      </c>
      <c r="D50" s="4" t="s">
        <v>222</v>
      </c>
      <c r="E50" s="4" t="n">
        <v>5010</v>
      </c>
      <c r="F50" s="4" t="s">
        <v>25</v>
      </c>
      <c r="G50" s="4" t="s">
        <v>223</v>
      </c>
      <c r="H50" s="6" t="n">
        <v>0.33</v>
      </c>
      <c r="I50" s="6" t="n">
        <f aca="false">B50*H50</f>
        <v>7.59</v>
      </c>
      <c r="J50" s="6" t="n">
        <v>0.188</v>
      </c>
      <c r="K50" s="6" t="n">
        <f aca="false">B50*J50</f>
        <v>4.324</v>
      </c>
      <c r="L50" s="4"/>
      <c r="M50" s="4"/>
      <c r="N50" s="4"/>
      <c r="O50" s="4"/>
      <c r="P50" s="4"/>
    </row>
    <row r="51" s="9" customFormat="true" ht="12.8" hidden="false" customHeight="false" outlineLevel="0" collapsed="false">
      <c r="A51" s="7" t="s">
        <v>224</v>
      </c>
      <c r="B51" s="7" t="n">
        <v>1</v>
      </c>
      <c r="C51" s="7" t="s">
        <v>225</v>
      </c>
      <c r="D51" s="7"/>
      <c r="E51" s="7"/>
      <c r="F51" s="7"/>
      <c r="G51" s="7"/>
      <c r="H51" s="8" t="n">
        <v>5</v>
      </c>
      <c r="I51" s="8" t="n">
        <f aca="false">B51*H51</f>
        <v>5</v>
      </c>
      <c r="J51" s="8" t="n">
        <v>1</v>
      </c>
      <c r="K51" s="8" t="n">
        <f aca="false">B51*J51</f>
        <v>1</v>
      </c>
      <c r="L51" s="7"/>
      <c r="M51" s="7"/>
      <c r="N51" s="7"/>
      <c r="O51" s="7"/>
      <c r="P51" s="7"/>
    </row>
    <row r="52" customFormat="false" ht="12.8" hidden="false" customHeight="false" outlineLevel="0" collapsed="false">
      <c r="A52" s="4" t="s">
        <v>226</v>
      </c>
      <c r="B52" s="4" t="n">
        <v>1</v>
      </c>
      <c r="C52" s="4" t="s">
        <v>227</v>
      </c>
      <c r="D52" s="4" t="s">
        <v>80</v>
      </c>
      <c r="E52" s="22" t="s">
        <v>228</v>
      </c>
      <c r="F52" s="4" t="s">
        <v>25</v>
      </c>
      <c r="G52" s="22" t="s">
        <v>229</v>
      </c>
      <c r="H52" s="6" t="n">
        <v>0.23</v>
      </c>
      <c r="I52" s="6" t="n">
        <f aca="false">B52*H52</f>
        <v>0.23</v>
      </c>
      <c r="J52" s="6" t="n">
        <v>0.111</v>
      </c>
      <c r="K52" s="6" t="n">
        <f aca="false">B52*J52</f>
        <v>0.111</v>
      </c>
      <c r="L52" s="4"/>
      <c r="M52" s="4"/>
      <c r="N52" s="4"/>
      <c r="O52" s="4"/>
      <c r="P52" s="4"/>
    </row>
    <row r="53" customFormat="false" ht="12.8" hidden="false" customHeight="false" outlineLevel="0" collapsed="false">
      <c r="A53" s="4" t="s">
        <v>230</v>
      </c>
      <c r="B53" s="4" t="n">
        <v>1</v>
      </c>
      <c r="C53" s="4" t="s">
        <v>231</v>
      </c>
      <c r="D53" s="4" t="s">
        <v>62</v>
      </c>
      <c r="E53" s="4" t="s">
        <v>232</v>
      </c>
      <c r="F53" s="4" t="s">
        <v>25</v>
      </c>
      <c r="G53" s="4" t="s">
        <v>233</v>
      </c>
      <c r="H53" s="6" t="n">
        <v>0.76</v>
      </c>
      <c r="I53" s="6" t="n">
        <f aca="false">B53*H53</f>
        <v>0.76</v>
      </c>
      <c r="J53" s="6"/>
      <c r="K53" s="6" t="n">
        <f aca="false">B53*J53</f>
        <v>0</v>
      </c>
      <c r="L53" s="4"/>
      <c r="M53" s="4"/>
      <c r="N53" s="4"/>
      <c r="O53" s="4"/>
      <c r="P53" s="4"/>
    </row>
    <row r="54" customFormat="false" ht="12.8" hidden="false" customHeight="false" outlineLevel="0" collapsed="false">
      <c r="A54" s="4" t="s">
        <v>234</v>
      </c>
      <c r="B54" s="4" t="n">
        <v>1</v>
      </c>
      <c r="C54" s="4" t="s">
        <v>235</v>
      </c>
      <c r="D54" s="4" t="s">
        <v>62</v>
      </c>
      <c r="E54" s="4" t="s">
        <v>236</v>
      </c>
      <c r="F54" s="4" t="s">
        <v>25</v>
      </c>
      <c r="G54" s="4" t="s">
        <v>237</v>
      </c>
      <c r="H54" s="6" t="n">
        <v>1.06</v>
      </c>
      <c r="I54" s="6" t="n">
        <f aca="false">B54*H54</f>
        <v>1.06</v>
      </c>
      <c r="J54" s="6"/>
      <c r="K54" s="6" t="n">
        <f aca="false">B54*J54</f>
        <v>0</v>
      </c>
      <c r="L54" s="4"/>
      <c r="M54" s="4"/>
      <c r="N54" s="4"/>
      <c r="O54" s="4"/>
      <c r="P54" s="4"/>
    </row>
    <row r="55" customFormat="false" ht="12.8" hidden="false" customHeight="false" outlineLevel="0" collapsed="false">
      <c r="A55" s="4" t="s">
        <v>238</v>
      </c>
      <c r="B55" s="4" t="n">
        <v>3</v>
      </c>
      <c r="C55" s="4" t="s">
        <v>239</v>
      </c>
      <c r="D55" s="4" t="s">
        <v>62</v>
      </c>
      <c r="E55" s="4" t="s">
        <v>240</v>
      </c>
      <c r="F55" s="4" t="s">
        <v>25</v>
      </c>
      <c r="G55" s="4" t="s">
        <v>241</v>
      </c>
      <c r="H55" s="6" t="n">
        <v>1.38</v>
      </c>
      <c r="I55" s="6" t="n">
        <f aca="false">B55*H55</f>
        <v>4.14</v>
      </c>
      <c r="J55" s="6"/>
      <c r="K55" s="6" t="n">
        <f aca="false">B55*J55</f>
        <v>0</v>
      </c>
      <c r="L55" s="4"/>
      <c r="M55" s="4"/>
      <c r="N55" s="4"/>
      <c r="O55" s="4"/>
      <c r="P55" s="4"/>
    </row>
    <row r="56" customFormat="false" ht="12.8" hidden="false" customHeight="false" outlineLevel="0" collapsed="false">
      <c r="A56" s="4" t="s">
        <v>242</v>
      </c>
      <c r="B56" s="4" t="n">
        <v>1</v>
      </c>
      <c r="C56" s="4" t="s">
        <v>243</v>
      </c>
      <c r="D56" s="4" t="s">
        <v>80</v>
      </c>
      <c r="E56" s="4" t="s">
        <v>244</v>
      </c>
      <c r="F56" s="4" t="s">
        <v>25</v>
      </c>
      <c r="G56" s="22" t="s">
        <v>245</v>
      </c>
      <c r="H56" s="6" t="n">
        <v>0.1</v>
      </c>
      <c r="I56" s="6" t="n">
        <f aca="false">B56*H56</f>
        <v>0.1</v>
      </c>
      <c r="J56" s="6"/>
      <c r="K56" s="6" t="n">
        <f aca="false">B56*J56</f>
        <v>0</v>
      </c>
      <c r="L56" s="4"/>
      <c r="M56" s="4"/>
      <c r="N56" s="4"/>
      <c r="O56" s="4"/>
      <c r="P56" s="4"/>
    </row>
    <row r="57" customFormat="false" ht="12.8" hidden="false" customHeight="false" outlineLevel="0" collapsed="false">
      <c r="A57" s="4" t="s">
        <v>246</v>
      </c>
      <c r="B57" s="4" t="n">
        <v>4</v>
      </c>
      <c r="C57" s="4" t="s">
        <v>247</v>
      </c>
      <c r="D57" s="4" t="s">
        <v>80</v>
      </c>
      <c r="E57" s="4" t="s">
        <v>248</v>
      </c>
      <c r="F57" s="4" t="s">
        <v>25</v>
      </c>
      <c r="G57" s="22" t="s">
        <v>249</v>
      </c>
      <c r="H57" s="6" t="n">
        <v>0.13</v>
      </c>
      <c r="I57" s="6" t="n">
        <f aca="false">B57*H57</f>
        <v>0.52</v>
      </c>
      <c r="J57" s="6"/>
      <c r="K57" s="6" t="n">
        <f aca="false">B57*J57</f>
        <v>0</v>
      </c>
      <c r="L57" s="4"/>
      <c r="M57" s="4"/>
      <c r="N57" s="4"/>
      <c r="O57" s="4"/>
      <c r="P57" s="4"/>
    </row>
    <row r="58" customFormat="false" ht="12.8" hidden="false" customHeight="false" outlineLevel="0" collapsed="false">
      <c r="A58" s="4" t="s">
        <v>250</v>
      </c>
      <c r="B58" s="4" t="n">
        <v>1</v>
      </c>
      <c r="C58" s="4" t="s">
        <v>251</v>
      </c>
      <c r="D58" s="4" t="s">
        <v>62</v>
      </c>
      <c r="E58" s="22" t="s">
        <v>252</v>
      </c>
      <c r="F58" s="4" t="s">
        <v>25</v>
      </c>
      <c r="G58" s="22" t="s">
        <v>253</v>
      </c>
      <c r="H58" s="6" t="n">
        <v>10.63</v>
      </c>
      <c r="I58" s="6" t="n">
        <f aca="false">B58*H58</f>
        <v>10.63</v>
      </c>
      <c r="J58" s="6"/>
      <c r="K58" s="6" t="n">
        <f aca="false">B58*J58</f>
        <v>0</v>
      </c>
      <c r="L58" s="4"/>
      <c r="M58" s="4"/>
      <c r="N58" s="4"/>
      <c r="O58" s="4"/>
      <c r="P58" s="4"/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6"/>
      <c r="I59" s="6" t="n">
        <f aca="false">B59*H59</f>
        <v>0</v>
      </c>
      <c r="J59" s="6"/>
      <c r="K59" s="6" t="n">
        <f aca="false">B59*J59</f>
        <v>0</v>
      </c>
      <c r="L59" s="4"/>
      <c r="M59" s="4"/>
      <c r="N59" s="4"/>
      <c r="O59" s="4"/>
      <c r="P59" s="4"/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6"/>
      <c r="I60" s="6" t="n">
        <f aca="false">B60*H60</f>
        <v>0</v>
      </c>
      <c r="J60" s="6"/>
      <c r="K60" s="6" t="n">
        <f aca="false">B60*J60</f>
        <v>0</v>
      </c>
      <c r="L60" s="4"/>
      <c r="M60" s="4"/>
      <c r="N60" s="4"/>
      <c r="O60" s="4"/>
      <c r="P6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2025-12-10T18:53:52Z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