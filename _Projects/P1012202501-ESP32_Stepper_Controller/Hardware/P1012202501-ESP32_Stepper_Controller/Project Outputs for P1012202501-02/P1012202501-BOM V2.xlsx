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866e90584781ffa/_PublicFiles/_Projects/P1012202501-ESP32_Stepper_Controller/Hardware/P1012202501-ESP32_Stepper_Controller/Project Outputs for P1012202501-02/"/>
    </mc:Choice>
  </mc:AlternateContent>
  <xr:revisionPtr revIDLastSave="10" documentId="11_4485A3C861C4F1C5C768334FD99282772C82B40A" xr6:coauthVersionLast="47" xr6:coauthVersionMax="47" xr10:uidLastSave="{BC4F7823-ED5B-4326-B5B1-09D218575E6D}"/>
  <bookViews>
    <workbookView minimized="1" xWindow="-26700" yWindow="1845" windowWidth="21600" windowHeight="11295" tabRatio="500" xr2:uid="{00000000-000D-0000-FFFF-FFFF00000000}"/>
  </bookViews>
  <sheets>
    <sheet name="P1012202501-ESP32_Stepper_Cont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K59" i="1" l="1"/>
  <c r="I59" i="1"/>
  <c r="K58" i="1"/>
  <c r="I58" i="1"/>
  <c r="K57" i="1"/>
  <c r="I57" i="1"/>
  <c r="K56" i="1"/>
  <c r="I56" i="1"/>
  <c r="K55" i="1"/>
  <c r="I55" i="1"/>
  <c r="K54" i="1"/>
  <c r="I54" i="1"/>
  <c r="K53" i="1"/>
  <c r="I53" i="1"/>
  <c r="K52" i="1"/>
  <c r="I52" i="1"/>
  <c r="K51" i="1"/>
  <c r="I51" i="1"/>
  <c r="K50" i="1"/>
  <c r="I50" i="1"/>
  <c r="K49" i="1"/>
  <c r="I49" i="1"/>
  <c r="K48" i="1"/>
  <c r="I48" i="1"/>
  <c r="K47" i="1"/>
  <c r="I47" i="1"/>
  <c r="K46" i="1"/>
  <c r="I46" i="1"/>
  <c r="K45" i="1"/>
  <c r="I45" i="1"/>
  <c r="K44" i="1"/>
  <c r="I44" i="1"/>
  <c r="K43" i="1"/>
  <c r="I43" i="1"/>
  <c r="K42" i="1"/>
  <c r="I42" i="1"/>
  <c r="K41" i="1"/>
  <c r="I41" i="1"/>
  <c r="K40" i="1"/>
  <c r="I40" i="1"/>
  <c r="K39" i="1"/>
  <c r="I39" i="1"/>
  <c r="K38" i="1"/>
  <c r="I38" i="1"/>
  <c r="K37" i="1"/>
  <c r="I37" i="1"/>
  <c r="K36" i="1"/>
  <c r="I36" i="1"/>
  <c r="K35" i="1"/>
  <c r="I35" i="1"/>
  <c r="K34" i="1"/>
  <c r="I34" i="1"/>
  <c r="K33" i="1"/>
  <c r="I33" i="1"/>
  <c r="K32" i="1"/>
  <c r="I32" i="1"/>
  <c r="K31" i="1"/>
  <c r="I31" i="1"/>
  <c r="K30" i="1"/>
  <c r="I30" i="1"/>
  <c r="K29" i="1"/>
  <c r="I29" i="1"/>
  <c r="K28" i="1"/>
  <c r="I28" i="1"/>
  <c r="K27" i="1"/>
  <c r="I27" i="1"/>
  <c r="K26" i="1"/>
  <c r="I26" i="1"/>
  <c r="K25" i="1"/>
  <c r="I25" i="1"/>
  <c r="K24" i="1"/>
  <c r="I24" i="1"/>
  <c r="K23" i="1"/>
  <c r="I23" i="1"/>
  <c r="K22" i="1"/>
  <c r="I22" i="1"/>
  <c r="K21" i="1"/>
  <c r="I21" i="1"/>
  <c r="K20" i="1"/>
  <c r="I20" i="1"/>
  <c r="K19" i="1"/>
  <c r="I19" i="1"/>
  <c r="K18" i="1"/>
  <c r="I18" i="1"/>
  <c r="K17" i="1"/>
  <c r="I17" i="1"/>
  <c r="K16" i="1"/>
  <c r="I16" i="1"/>
  <c r="K15" i="1"/>
  <c r="I15" i="1"/>
  <c r="K14" i="1"/>
  <c r="I14" i="1"/>
  <c r="K13" i="1"/>
  <c r="I13" i="1"/>
  <c r="K12" i="1"/>
  <c r="I12" i="1"/>
  <c r="K11" i="1"/>
  <c r="I11" i="1"/>
  <c r="K10" i="1"/>
  <c r="I10" i="1"/>
  <c r="K9" i="1"/>
  <c r="I9" i="1"/>
  <c r="K8" i="1"/>
  <c r="I8" i="1"/>
  <c r="K7" i="1"/>
  <c r="I7" i="1"/>
  <c r="K6" i="1"/>
  <c r="I6" i="1"/>
  <c r="K1" i="1"/>
  <c r="I1" i="1"/>
</calcChain>
</file>

<file path=xl/sharedStrings.xml><?xml version="1.0" encoding="utf-8"?>
<sst xmlns="http://schemas.openxmlformats.org/spreadsheetml/2006/main" count="341" uniqueCount="261">
  <si>
    <t>Project:</t>
  </si>
  <si>
    <t>P1012202501-02</t>
  </si>
  <si>
    <t>Per board LV Cost</t>
  </si>
  <si>
    <t>Per board HV Cost</t>
  </si>
  <si>
    <t>BOM Version:</t>
  </si>
  <si>
    <t>Reference</t>
  </si>
  <si>
    <t>Qty</t>
  </si>
  <si>
    <t>Internal Part Number</t>
  </si>
  <si>
    <t>Manufacturer 1</t>
  </si>
  <si>
    <t>Manufacturer 1 P/N</t>
  </si>
  <si>
    <t>Vendor 1a</t>
  </si>
  <si>
    <t>Vendor 1a P/N</t>
  </si>
  <si>
    <t>Vendor 1a Cost LV</t>
  </si>
  <si>
    <t>Vendor 1a LV Extended</t>
  </si>
  <si>
    <t>Vendor 1a Cost HV</t>
  </si>
  <si>
    <t>Vendor 1a HV Extended</t>
  </si>
  <si>
    <t>Vendor 1b</t>
  </si>
  <si>
    <t>Vendor 1b P/N</t>
  </si>
  <si>
    <t>Vendor 1b Cost HV</t>
  </si>
  <si>
    <t>Vendor 1b Cost LV</t>
  </si>
  <si>
    <t>Notes</t>
  </si>
  <si>
    <t>C1,C2,C3,C4</t>
  </si>
  <si>
    <t>CC1206106050AAAX7R</t>
  </si>
  <si>
    <t>Samsung</t>
  </si>
  <si>
    <t>CL31B106KBHNNNE</t>
  </si>
  <si>
    <t>Mouser</t>
  </si>
  <si>
    <t>187-CL31B106KBHNNNE</t>
  </si>
  <si>
    <t>C5,C6,C11,C12,C15,C18,C20,C23,C24,C25,C28,C30</t>
  </si>
  <si>
    <t>CC0603104050AAAX7R</t>
  </si>
  <si>
    <t>Yageo</t>
  </si>
  <si>
    <t>CC0603KRX7R9BB104</t>
  </si>
  <si>
    <t>603-CC603KRX7R9BB104</t>
  </si>
  <si>
    <t>C7,C8,C9,C10</t>
  </si>
  <si>
    <t>CC1210226025AAAX7R</t>
  </si>
  <si>
    <t>Taiyo Yuden</t>
  </si>
  <si>
    <t>TMK325B7226KM-PR</t>
  </si>
  <si>
    <t>963-TMK325B7226KM-PR</t>
  </si>
  <si>
    <t>C13,C14,C19,C21,C29</t>
  </si>
  <si>
    <t>CC0603226010AABX5R</t>
  </si>
  <si>
    <t>Murata</t>
  </si>
  <si>
    <t>GRM188R61A226ME15D</t>
  </si>
  <si>
    <t>81-GRM188R61A226ME5D</t>
  </si>
  <si>
    <t>C16,C17</t>
  </si>
  <si>
    <t>CC0805226025AABX5R</t>
  </si>
  <si>
    <t>CL21A226MAYNNNE</t>
  </si>
  <si>
    <t xml:space="preserve">187-CL21A226MAYNNNE </t>
  </si>
  <si>
    <t>C22</t>
  </si>
  <si>
    <t>CEA771MS107M1JLAS018</t>
  </si>
  <si>
    <t>KEMET</t>
  </si>
  <si>
    <t>A771MS107M1JLAS018</t>
  </si>
  <si>
    <t>80-A771MS107M1JLAS18</t>
  </si>
  <si>
    <t>C26</t>
  </si>
  <si>
    <t>CC0603103050AAAX7R</t>
  </si>
  <si>
    <t>GCM188R71H103KA37J</t>
  </si>
  <si>
    <t>81-GCM188R71H103KA7J</t>
  </si>
  <si>
    <t>C27</t>
  </si>
  <si>
    <t>CC0603474050AAAX7R</t>
  </si>
  <si>
    <t>TAIYO YUDEN</t>
  </si>
  <si>
    <t>UMK107B7474KA-TR</t>
  </si>
  <si>
    <t>963-UMK107B7474KA-TR</t>
  </si>
  <si>
    <t>CN1</t>
  </si>
  <si>
    <t>KPTBP04R1-500-02BE</t>
  </si>
  <si>
    <t>Same Sky</t>
  </si>
  <si>
    <t>TBP04R1-500-02BE</t>
  </si>
  <si>
    <t>179-TBP04R1-500-02BE</t>
  </si>
  <si>
    <t>CN2</t>
  </si>
  <si>
    <t>KPTBP04R1-500-03BE</t>
  </si>
  <si>
    <t>TBP04R1-500-03BE</t>
  </si>
  <si>
    <t>179-TBP04R1-500-03BE</t>
  </si>
  <si>
    <t>CN3,CN4,CN7</t>
  </si>
  <si>
    <t>KPTBP04R1-500-04BE</t>
  </si>
  <si>
    <t>TBP04R1-500-04BE</t>
  </si>
  <si>
    <t>179-TBP04R1-500-04BE</t>
  </si>
  <si>
    <t>CN5</t>
  </si>
  <si>
    <t>KUSB4105-GF-A</t>
  </si>
  <si>
    <t>GCT</t>
  </si>
  <si>
    <t>USB4105-GF-A</t>
  </si>
  <si>
    <t>640-USB4105-GF-A</t>
  </si>
  <si>
    <t>CN6</t>
  </si>
  <si>
    <t>KHS4B-PH-SM4-TB(LF)(SN)</t>
  </si>
  <si>
    <t>JST</t>
  </si>
  <si>
    <t>S4B-PH-SM4-TB(LF)(SN)</t>
  </si>
  <si>
    <t>306-S4BPHSM4TBLFSN</t>
  </si>
  <si>
    <t>D1,D2</t>
  </si>
  <si>
    <t>DLQ62702P5179</t>
  </si>
  <si>
    <t>OSRAM</t>
  </si>
  <si>
    <t>Q62702P5179</t>
  </si>
  <si>
    <t>720-Q62702P5179</t>
  </si>
  <si>
    <t>D3</t>
  </si>
  <si>
    <t>DSSS26SHE3_B_H</t>
  </si>
  <si>
    <t>Vishay</t>
  </si>
  <si>
    <t>SS26SHE3_B/H</t>
  </si>
  <si>
    <t>78-SS26SHE3_B/H</t>
  </si>
  <si>
    <t>D4,D5,D6,D7,D8</t>
  </si>
  <si>
    <t>TVSCDSOT23-SM712</t>
  </si>
  <si>
    <t>Bourns</t>
  </si>
  <si>
    <t>CDSOT23-SM712</t>
  </si>
  <si>
    <t>652-CDSOT23-SM712</t>
  </si>
  <si>
    <t>D9</t>
  </si>
  <si>
    <t>DLLS R976-NR-1</t>
  </si>
  <si>
    <t>LS R976-NR-1</t>
  </si>
  <si>
    <t>720-LSR976-NR-1</t>
  </si>
  <si>
    <t>IC1</t>
  </si>
  <si>
    <t>PMAP63203WU-7</t>
  </si>
  <si>
    <t>Diodes Incorporated</t>
  </si>
  <si>
    <t>AP63203WU-7</t>
  </si>
  <si>
    <t>621-AP63203WU-7</t>
  </si>
  <si>
    <t>IC2</t>
  </si>
  <si>
    <t>PMAP63205WU-7</t>
  </si>
  <si>
    <t>AP63205WU-7</t>
  </si>
  <si>
    <t>621-AP63205WU-7</t>
  </si>
  <si>
    <t>IC3</t>
  </si>
  <si>
    <t>ESP32-WROOM-32UE-N16</t>
  </si>
  <si>
    <t>Espressif</t>
  </si>
  <si>
    <t>356-ESP32WRM32UE28UH</t>
  </si>
  <si>
    <t>IC4</t>
  </si>
  <si>
    <t>USP3485CN-L/TR</t>
  </si>
  <si>
    <t>MaxLinear</t>
  </si>
  <si>
    <t>SP3485CN-L/TR</t>
  </si>
  <si>
    <t>701-SP3485CN-L/TR</t>
  </si>
  <si>
    <t>DigiKey</t>
  </si>
  <si>
    <t>1016-1816-1-ND</t>
  </si>
  <si>
    <t>IC5</t>
  </si>
  <si>
    <t>UCP2102N-A02-GQFN28R</t>
  </si>
  <si>
    <t>Silicon Labs</t>
  </si>
  <si>
    <t>CP2102N-A02-GQFN28R</t>
  </si>
  <si>
    <t>634-CP2102NA02QFN28R</t>
  </si>
  <si>
    <t>IC6</t>
  </si>
  <si>
    <t>UDRV8825PWPR</t>
  </si>
  <si>
    <t>Texas Instruments</t>
  </si>
  <si>
    <t>DRV8825PWPR</t>
  </si>
  <si>
    <t>595-DRV8825PWPR</t>
  </si>
  <si>
    <t>IC7</t>
  </si>
  <si>
    <t>UTMP36GRTZ-REEL7</t>
  </si>
  <si>
    <t>Analog Devices</t>
  </si>
  <si>
    <t>TMP36GRTZ-REEL7</t>
  </si>
  <si>
    <t>584-TMP36GRTZ-R7</t>
  </si>
  <si>
    <t>J1,J2,J3</t>
  </si>
  <si>
    <t>KH22-28-5021</t>
  </si>
  <si>
    <t>Molex</t>
  </si>
  <si>
    <t>22-28-5021</t>
  </si>
  <si>
    <t>538-22-28-5021</t>
  </si>
  <si>
    <t>J4</t>
  </si>
  <si>
    <t>KH68001-406HLF</t>
  </si>
  <si>
    <t>Amphenol</t>
  </si>
  <si>
    <t>68001-406HLF</t>
  </si>
  <si>
    <t>649-68001-406HLF</t>
  </si>
  <si>
    <t>L1,L2</t>
  </si>
  <si>
    <t>LSRP2512-2R2M</t>
  </si>
  <si>
    <t>SRP2512-2R2M</t>
  </si>
  <si>
    <t>652-SRP2512-2R2M</t>
  </si>
  <si>
    <t>Q1,Q2,Q3,Q4,Q5,Q6</t>
  </si>
  <si>
    <t>QTCMT1600T3</t>
  </si>
  <si>
    <t>Vishay Semiconductors</t>
  </si>
  <si>
    <t>TCMT1600T3</t>
  </si>
  <si>
    <t>78-TCMT1600T3</t>
  </si>
  <si>
    <t>Q7</t>
  </si>
  <si>
    <t>QBC847BDW1T1G</t>
  </si>
  <si>
    <t>onsemi</t>
  </si>
  <si>
    <t>BC847BDW1T1G</t>
  </si>
  <si>
    <t>863-BC847BDW1T1G</t>
  </si>
  <si>
    <t>R1,R32</t>
  </si>
  <si>
    <t>RC0603330075AAA</t>
  </si>
  <si>
    <t>RT0603FRE13330RL</t>
  </si>
  <si>
    <t>603-RT0603FRE13330RL</t>
  </si>
  <si>
    <t>R2</t>
  </si>
  <si>
    <t>RC0603510075AAA</t>
  </si>
  <si>
    <t>SR0603FR-7W510RL</t>
  </si>
  <si>
    <t>603-SR0603FR-7W510RL</t>
  </si>
  <si>
    <t>R3</t>
  </si>
  <si>
    <t>RC0603682075AAA</t>
  </si>
  <si>
    <t>Panasonic</t>
  </si>
  <si>
    <t>ERA-3AEB682V</t>
  </si>
  <si>
    <t>667-ERA-3AEB682V</t>
  </si>
  <si>
    <t>R4,R20,R21,R23,R24,R30,R9,R10,R11,R15,R16,R17</t>
  </si>
  <si>
    <t>RC060310K2075AAA</t>
  </si>
  <si>
    <t>AC0603DRE0710KL</t>
  </si>
  <si>
    <t>603-AC0603DRE0710KL</t>
  </si>
  <si>
    <t>R5</t>
  </si>
  <si>
    <t>RC0805121150AAB</t>
  </si>
  <si>
    <t>ERJ-6GEYJ121V</t>
  </si>
  <si>
    <t>667-ERJ-6GEYJ121V</t>
  </si>
  <si>
    <t>R6,R7,R8,R12,R13,R14</t>
  </si>
  <si>
    <t>RC12101K2200AAC</t>
  </si>
  <si>
    <t>AC1210JR-071K2L</t>
  </si>
  <si>
    <t>603-AC1210JR-071K2L</t>
  </si>
  <si>
    <t>R18</t>
  </si>
  <si>
    <t>RC060322K1075AAA</t>
  </si>
  <si>
    <t>CRCW060322K1FKEBC</t>
  </si>
  <si>
    <t>71-CRCW060322K1FKEBC</t>
  </si>
  <si>
    <t>R19</t>
  </si>
  <si>
    <t>RC060347K5075AAA</t>
  </si>
  <si>
    <t>ERA-3AEB4752V</t>
  </si>
  <si>
    <t>667-ERA-3AEB4752V</t>
  </si>
  <si>
    <t>R22,R31</t>
  </si>
  <si>
    <t>RC06031K0075AAA</t>
  </si>
  <si>
    <t>SR0603JR-071KL</t>
  </si>
  <si>
    <t>603-SR0603JR-071KL</t>
  </si>
  <si>
    <t>R25</t>
  </si>
  <si>
    <t>RC06031M0075AAA</t>
  </si>
  <si>
    <t>MCT0603MD1004BP500</t>
  </si>
  <si>
    <t>594-MCT0603MD1004BP5</t>
  </si>
  <si>
    <t>R26,R27</t>
  </si>
  <si>
    <t>RC08050R2075AAE</t>
  </si>
  <si>
    <t>RCWE0805R200FKEA</t>
  </si>
  <si>
    <t>71-RCWE0805R200FKEA</t>
  </si>
  <si>
    <t>R28</t>
  </si>
  <si>
    <t>RC060350K075AAA</t>
  </si>
  <si>
    <t>RT0603BRD0750KL</t>
  </si>
  <si>
    <t>603-RT0603BRD0750KL</t>
  </si>
  <si>
    <t>R29</t>
  </si>
  <si>
    <t>RC060330K075AAA</t>
  </si>
  <si>
    <t>ERA-3AED303V</t>
  </si>
  <si>
    <t>667-ERA-3AED303V</t>
  </si>
  <si>
    <t>S1,S2</t>
  </si>
  <si>
    <t>SW435151014845</t>
  </si>
  <si>
    <t>Wurth Elektronik</t>
  </si>
  <si>
    <t>710-435151014845</t>
  </si>
  <si>
    <t>TP1,TP2,TP3,TP4,TP5,TP6,TP7,TP10,TP11,TP12,TP13,TP14,TP15,TP16,TP17,TP18,TP19,TP20,TP21,TP22,TP23,TP24,TP25,TP26,TP27,TP28,TP29,TP30,TP31,TP32,TP33,TP34,TP35,TP36</t>
  </si>
  <si>
    <t>TP5010</t>
  </si>
  <si>
    <t>Keystone</t>
  </si>
  <si>
    <t>534-5010</t>
  </si>
  <si>
    <t>PCB</t>
  </si>
  <si>
    <t>P1012202501-PCB-02</t>
  </si>
  <si>
    <t>Jumper for J1, J2, and J3</t>
  </si>
  <si>
    <t>JMP2POS1ROW254</t>
  </si>
  <si>
    <t xml:space="preserve">JM-2BK-61 </t>
  </si>
  <si>
    <t xml:space="preserve">306-JM-2BK-61 </t>
  </si>
  <si>
    <t>Plug for CN1</t>
  </si>
  <si>
    <t>KPTBP04P1-500-02BE</t>
  </si>
  <si>
    <t>TBP04P1-500-02BE</t>
  </si>
  <si>
    <t>179-TBP04P1-500-02BE</t>
  </si>
  <si>
    <t>Plug for CN2</t>
  </si>
  <si>
    <t>KPTBP04P1-500-03BE</t>
  </si>
  <si>
    <t>TBP04P1-500-03BE</t>
  </si>
  <si>
    <t>179-TBP04P1-500-03BE</t>
  </si>
  <si>
    <t>Plug for CN3, CN4, and CN7</t>
  </si>
  <si>
    <t>KPTBP04P1-500-04BE</t>
  </si>
  <si>
    <t>TBP04P1-500-04BE</t>
  </si>
  <si>
    <t>179-TBP04P1-500-04BE</t>
  </si>
  <si>
    <t>Plug for CN6</t>
  </si>
  <si>
    <t>KPPHR-4</t>
  </si>
  <si>
    <t>PHR-4</t>
  </si>
  <si>
    <t xml:space="preserve">306-PHR-4 </t>
  </si>
  <si>
    <t>Terminals for CN6 Plug</t>
  </si>
  <si>
    <t>PTSPH-002T-P0.5L</t>
  </si>
  <si>
    <t>SPH-002T-P0.5L</t>
  </si>
  <si>
    <t xml:space="preserve">306-SPH-002T-P0.5L </t>
  </si>
  <si>
    <t>Fan 1</t>
  </si>
  <si>
    <t>FANDC5V4040mmPWMTACH</t>
  </si>
  <si>
    <t xml:space="preserve">CFM-4010-03-22 </t>
  </si>
  <si>
    <t xml:space="preserve">490-CFM-4010-03-22 </t>
  </si>
  <si>
    <t>Heat Sink for IC6</t>
  </si>
  <si>
    <t>HS8.8x8.5x8</t>
  </si>
  <si>
    <t>HSB01-080808</t>
  </si>
  <si>
    <t>2223-HSB01-080808-ND</t>
  </si>
  <si>
    <t>Tape for Heatsink</t>
  </si>
  <si>
    <t>HSTAPE8x8x0.25</t>
  </si>
  <si>
    <t>T-Global</t>
  </si>
  <si>
    <t>TG-T1000-8-8-0.25-5PT</t>
  </si>
  <si>
    <t>1168-TG-T1000-8-8-0.25-5PT-ND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</si>
</sst>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\-[$$-409]#,##0.00"/>
  </numFmts>
  <fonts count="1" x14ac:knownFonts="1">
    <font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29FCF"/>
        <bgColor rgb="FF96969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left"/>
    </xf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729FC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59"/>
  <sheetViews>
    <sheetView tabSelected="1" zoomScale="85" zoomScaleNormal="85" workbookViewId="0">
      <selection activeCell="E21" sqref="E21"/>
    </sheetView>
  </sheetViews>
  <sheetFormatPr defaultColWidth="11.5703125" defaultRowHeight="12.75" customHeight="1" x14ac:dyDescent="0.2"/>
  <cols>
    <col min="1" max="1" width="56.42578125" customWidth="1"/>
    <col min="2" max="2" width="4.42578125" customWidth="1"/>
    <col min="3" max="3" width="24.7109375" customWidth="1"/>
    <col min="4" max="4" width="20.7109375" customWidth="1"/>
    <col min="5" max="5" width="22.140625" customWidth="1"/>
    <col min="6" max="6" width="9.85546875" customWidth="1"/>
    <col min="7" max="7" width="31.7109375" customWidth="1"/>
    <col min="8" max="8" width="16.85546875" style="1" customWidth="1"/>
    <col min="9" max="9" width="20.7109375" style="1" customWidth="1"/>
    <col min="10" max="10" width="17.140625" style="1" customWidth="1"/>
    <col min="11" max="11" width="21" style="1" customWidth="1"/>
    <col min="12" max="12" width="9.85546875" customWidth="1"/>
    <col min="13" max="13" width="14.5703125" customWidth="1"/>
    <col min="14" max="14" width="17.140625" customWidth="1"/>
    <col min="15" max="15" width="16.85546875" customWidth="1"/>
    <col min="16" max="16" width="14.5703125" customWidth="1"/>
  </cols>
  <sheetData>
    <row r="1" spans="1:16" x14ac:dyDescent="0.2">
      <c r="A1" s="9" t="s">
        <v>0</v>
      </c>
      <c r="B1" s="9"/>
      <c r="C1" s="2" t="s">
        <v>1</v>
      </c>
      <c r="H1" s="1" t="s">
        <v>2</v>
      </c>
      <c r="I1" s="1">
        <f>SUM(I6:I61)</f>
        <v>82.370000000000019</v>
      </c>
      <c r="J1" s="1" t="s">
        <v>3</v>
      </c>
      <c r="K1" s="1">
        <f>SUM(K6:K56)</f>
        <v>28.455000000000005</v>
      </c>
    </row>
    <row r="2" spans="1:16" x14ac:dyDescent="0.2">
      <c r="A2" s="9" t="s">
        <v>4</v>
      </c>
      <c r="B2" s="9"/>
      <c r="C2" s="3">
        <v>2</v>
      </c>
    </row>
    <row r="5" spans="1:16" x14ac:dyDescent="0.2">
      <c r="A5" s="4" t="s">
        <v>5</v>
      </c>
      <c r="B5" s="4" t="s">
        <v>6</v>
      </c>
      <c r="C5" s="4" t="s">
        <v>7</v>
      </c>
      <c r="D5" s="4" t="s">
        <v>8</v>
      </c>
      <c r="E5" s="4" t="s">
        <v>9</v>
      </c>
      <c r="F5" s="4" t="s">
        <v>10</v>
      </c>
      <c r="G5" s="4" t="s">
        <v>11</v>
      </c>
      <c r="H5" s="5" t="s">
        <v>12</v>
      </c>
      <c r="I5" s="5" t="s">
        <v>13</v>
      </c>
      <c r="J5" s="5" t="s">
        <v>14</v>
      </c>
      <c r="K5" s="5" t="s">
        <v>15</v>
      </c>
      <c r="L5" s="4" t="s">
        <v>16</v>
      </c>
      <c r="M5" s="4" t="s">
        <v>17</v>
      </c>
      <c r="N5" s="4" t="s">
        <v>18</v>
      </c>
      <c r="O5" s="4" t="s">
        <v>19</v>
      </c>
      <c r="P5" s="4" t="s">
        <v>20</v>
      </c>
    </row>
    <row r="6" spans="1:16" x14ac:dyDescent="0.2">
      <c r="A6" s="2" t="s">
        <v>21</v>
      </c>
      <c r="B6" s="2">
        <v>4</v>
      </c>
      <c r="C6" s="2" t="s">
        <v>22</v>
      </c>
      <c r="D6" s="2" t="s">
        <v>23</v>
      </c>
      <c r="E6" s="2" t="s">
        <v>24</v>
      </c>
      <c r="F6" s="2" t="s">
        <v>25</v>
      </c>
      <c r="G6" s="2" t="s">
        <v>26</v>
      </c>
      <c r="H6" s="6">
        <v>0.22</v>
      </c>
      <c r="I6" s="6">
        <f t="shared" ref="I6:I37" si="0">B6*H6</f>
        <v>0.88</v>
      </c>
      <c r="J6" s="6">
        <v>6.8000000000000005E-2</v>
      </c>
      <c r="K6" s="6">
        <f t="shared" ref="K6:K37" si="1">B6*J6</f>
        <v>0.27200000000000002</v>
      </c>
      <c r="L6" s="2"/>
      <c r="M6" s="2"/>
      <c r="N6" s="2"/>
      <c r="O6" s="2"/>
      <c r="P6" s="2"/>
    </row>
    <row r="7" spans="1:16" x14ac:dyDescent="0.2">
      <c r="A7" s="2" t="s">
        <v>27</v>
      </c>
      <c r="B7" s="2">
        <v>12</v>
      </c>
      <c r="C7" s="2" t="s">
        <v>28</v>
      </c>
      <c r="D7" s="2" t="s">
        <v>29</v>
      </c>
      <c r="E7" s="2" t="s">
        <v>30</v>
      </c>
      <c r="F7" s="2" t="s">
        <v>25</v>
      </c>
      <c r="G7" s="2" t="s">
        <v>31</v>
      </c>
      <c r="H7" s="6">
        <v>0.1</v>
      </c>
      <c r="I7" s="6">
        <f t="shared" si="0"/>
        <v>1.2000000000000002</v>
      </c>
      <c r="J7" s="6">
        <v>1.2E-2</v>
      </c>
      <c r="K7" s="6">
        <f t="shared" si="1"/>
        <v>0.14400000000000002</v>
      </c>
      <c r="L7" s="2"/>
      <c r="M7" s="2"/>
      <c r="N7" s="2"/>
      <c r="O7" s="2"/>
      <c r="P7" s="2"/>
    </row>
    <row r="8" spans="1:16" x14ac:dyDescent="0.2">
      <c r="A8" s="2" t="s">
        <v>32</v>
      </c>
      <c r="B8" s="2">
        <v>4</v>
      </c>
      <c r="C8" s="2" t="s">
        <v>33</v>
      </c>
      <c r="D8" s="2" t="s">
        <v>34</v>
      </c>
      <c r="E8" s="2" t="s">
        <v>35</v>
      </c>
      <c r="F8" s="2" t="s">
        <v>25</v>
      </c>
      <c r="G8" s="2" t="s">
        <v>36</v>
      </c>
      <c r="H8" s="6">
        <v>0.6</v>
      </c>
      <c r="I8" s="6">
        <f t="shared" si="0"/>
        <v>2.4</v>
      </c>
      <c r="J8" s="6">
        <v>0.187</v>
      </c>
      <c r="K8" s="6">
        <f t="shared" si="1"/>
        <v>0.748</v>
      </c>
      <c r="L8" s="2"/>
      <c r="M8" s="2"/>
      <c r="N8" s="2"/>
      <c r="O8" s="2"/>
      <c r="P8" s="2"/>
    </row>
    <row r="9" spans="1:16" x14ac:dyDescent="0.2">
      <c r="A9" s="2" t="s">
        <v>37</v>
      </c>
      <c r="B9" s="2">
        <v>5</v>
      </c>
      <c r="C9" s="2" t="s">
        <v>38</v>
      </c>
      <c r="D9" s="2" t="s">
        <v>39</v>
      </c>
      <c r="E9" s="2" t="s">
        <v>40</v>
      </c>
      <c r="F9" s="2" t="s">
        <v>25</v>
      </c>
      <c r="G9" s="2" t="s">
        <v>41</v>
      </c>
      <c r="H9" s="6">
        <v>0.1</v>
      </c>
      <c r="I9" s="6">
        <f t="shared" si="0"/>
        <v>0.5</v>
      </c>
      <c r="J9" s="6">
        <v>2.3E-2</v>
      </c>
      <c r="K9" s="6">
        <f t="shared" si="1"/>
        <v>0.11499999999999999</v>
      </c>
      <c r="L9" s="2"/>
      <c r="M9" s="2"/>
      <c r="N9" s="2"/>
      <c r="O9" s="2"/>
      <c r="P9" s="2"/>
    </row>
    <row r="10" spans="1:16" x14ac:dyDescent="0.2">
      <c r="A10" s="2" t="s">
        <v>42</v>
      </c>
      <c r="B10" s="2">
        <v>2</v>
      </c>
      <c r="C10" s="2" t="s">
        <v>43</v>
      </c>
      <c r="D10" s="2" t="s">
        <v>23</v>
      </c>
      <c r="E10" s="2" t="s">
        <v>44</v>
      </c>
      <c r="F10" s="2" t="s">
        <v>25</v>
      </c>
      <c r="G10" s="2" t="s">
        <v>45</v>
      </c>
      <c r="H10" s="6">
        <v>0.1</v>
      </c>
      <c r="I10" s="6">
        <f t="shared" si="0"/>
        <v>0.2</v>
      </c>
      <c r="J10" s="6">
        <v>4.2999999999999997E-2</v>
      </c>
      <c r="K10" s="6">
        <f t="shared" si="1"/>
        <v>8.5999999999999993E-2</v>
      </c>
      <c r="L10" s="2"/>
      <c r="M10" s="2"/>
      <c r="N10" s="2"/>
      <c r="O10" s="2"/>
      <c r="P10" s="2"/>
    </row>
    <row r="11" spans="1:16" x14ac:dyDescent="0.2">
      <c r="A11" s="2" t="s">
        <v>46</v>
      </c>
      <c r="B11" s="2">
        <v>1</v>
      </c>
      <c r="C11" s="2" t="s">
        <v>47</v>
      </c>
      <c r="D11" s="2" t="s">
        <v>48</v>
      </c>
      <c r="E11" s="2" t="s">
        <v>49</v>
      </c>
      <c r="F11" s="2" t="s">
        <v>25</v>
      </c>
      <c r="G11" s="2" t="s">
        <v>50</v>
      </c>
      <c r="H11" s="6">
        <v>1.49</v>
      </c>
      <c r="I11" s="6">
        <f t="shared" si="0"/>
        <v>1.49</v>
      </c>
      <c r="J11" s="6">
        <v>0.47199999999999998</v>
      </c>
      <c r="K11" s="6">
        <f t="shared" si="1"/>
        <v>0.47199999999999998</v>
      </c>
      <c r="L11" s="2"/>
      <c r="M11" s="2"/>
      <c r="N11" s="2"/>
      <c r="O11" s="2"/>
      <c r="P11" s="2"/>
    </row>
    <row r="12" spans="1:16" x14ac:dyDescent="0.2">
      <c r="A12" s="2" t="s">
        <v>51</v>
      </c>
      <c r="B12" s="2">
        <v>1</v>
      </c>
      <c r="C12" s="2" t="s">
        <v>52</v>
      </c>
      <c r="D12" s="2" t="s">
        <v>39</v>
      </c>
      <c r="E12" s="2" t="s">
        <v>53</v>
      </c>
      <c r="F12" s="2" t="s">
        <v>25</v>
      </c>
      <c r="G12" s="2" t="s">
        <v>54</v>
      </c>
      <c r="H12" s="6">
        <v>0.1</v>
      </c>
      <c r="I12" s="6">
        <f t="shared" si="0"/>
        <v>0.1</v>
      </c>
      <c r="J12" s="6">
        <v>1.9E-2</v>
      </c>
      <c r="K12" s="6">
        <f t="shared" si="1"/>
        <v>1.9E-2</v>
      </c>
      <c r="L12" s="2"/>
      <c r="M12" s="2"/>
      <c r="N12" s="2"/>
      <c r="O12" s="2"/>
      <c r="P12" s="2"/>
    </row>
    <row r="13" spans="1:16" x14ac:dyDescent="0.2">
      <c r="A13" s="2" t="s">
        <v>55</v>
      </c>
      <c r="B13" s="2">
        <v>1</v>
      </c>
      <c r="C13" s="2" t="s">
        <v>56</v>
      </c>
      <c r="D13" s="2" t="s">
        <v>57</v>
      </c>
      <c r="E13" s="2" t="s">
        <v>58</v>
      </c>
      <c r="F13" s="2" t="s">
        <v>25</v>
      </c>
      <c r="G13" s="2" t="s">
        <v>59</v>
      </c>
      <c r="H13" s="6">
        <v>0.15</v>
      </c>
      <c r="I13" s="6">
        <f t="shared" si="0"/>
        <v>0.15</v>
      </c>
      <c r="J13" s="6">
        <v>3.5000000000000003E-2</v>
      </c>
      <c r="K13" s="6">
        <f t="shared" si="1"/>
        <v>3.5000000000000003E-2</v>
      </c>
      <c r="L13" s="2"/>
      <c r="M13" s="2"/>
      <c r="N13" s="2"/>
      <c r="O13" s="2"/>
      <c r="P13" s="2"/>
    </row>
    <row r="14" spans="1:16" x14ac:dyDescent="0.2">
      <c r="A14" s="2" t="s">
        <v>60</v>
      </c>
      <c r="B14" s="2">
        <v>1</v>
      </c>
      <c r="C14" s="2" t="s">
        <v>61</v>
      </c>
      <c r="D14" s="2" t="s">
        <v>62</v>
      </c>
      <c r="E14" s="2" t="s">
        <v>63</v>
      </c>
      <c r="F14" s="2" t="s">
        <v>25</v>
      </c>
      <c r="G14" s="2" t="s">
        <v>64</v>
      </c>
      <c r="H14" s="6">
        <v>0.33</v>
      </c>
      <c r="I14" s="6">
        <f t="shared" si="0"/>
        <v>0.33</v>
      </c>
      <c r="J14" s="6">
        <v>0.128</v>
      </c>
      <c r="K14" s="6">
        <f t="shared" si="1"/>
        <v>0.128</v>
      </c>
      <c r="L14" s="2"/>
      <c r="M14" s="2"/>
      <c r="N14" s="2"/>
      <c r="O14" s="2"/>
      <c r="P14" s="2"/>
    </row>
    <row r="15" spans="1:16" x14ac:dyDescent="0.2">
      <c r="A15" s="2" t="s">
        <v>65</v>
      </c>
      <c r="B15" s="2">
        <v>1</v>
      </c>
      <c r="C15" s="2" t="s">
        <v>66</v>
      </c>
      <c r="D15" s="2" t="s">
        <v>62</v>
      </c>
      <c r="E15" s="2" t="s">
        <v>67</v>
      </c>
      <c r="F15" s="2" t="s">
        <v>25</v>
      </c>
      <c r="G15" s="2" t="s">
        <v>68</v>
      </c>
      <c r="H15" s="6">
        <v>0.48</v>
      </c>
      <c r="I15" s="6">
        <f t="shared" si="0"/>
        <v>0.48</v>
      </c>
      <c r="J15" s="6">
        <v>0.189</v>
      </c>
      <c r="K15" s="6">
        <f t="shared" si="1"/>
        <v>0.189</v>
      </c>
      <c r="L15" s="2"/>
      <c r="M15" s="2"/>
      <c r="N15" s="2"/>
      <c r="O15" s="2"/>
      <c r="P15" s="2"/>
    </row>
    <row r="16" spans="1:16" x14ac:dyDescent="0.2">
      <c r="A16" s="2" t="s">
        <v>69</v>
      </c>
      <c r="B16" s="2">
        <v>3</v>
      </c>
      <c r="C16" s="2" t="s">
        <v>70</v>
      </c>
      <c r="D16" s="2" t="s">
        <v>62</v>
      </c>
      <c r="E16" s="2" t="s">
        <v>71</v>
      </c>
      <c r="F16" s="2" t="s">
        <v>25</v>
      </c>
      <c r="G16" s="2" t="s">
        <v>72</v>
      </c>
      <c r="H16" s="6">
        <v>0.62</v>
      </c>
      <c r="I16" s="6">
        <f t="shared" si="0"/>
        <v>1.8599999999999999</v>
      </c>
      <c r="J16" s="6">
        <v>0.246</v>
      </c>
      <c r="K16" s="6">
        <f t="shared" si="1"/>
        <v>0.73799999999999999</v>
      </c>
      <c r="L16" s="2"/>
      <c r="M16" s="2"/>
      <c r="N16" s="2"/>
      <c r="O16" s="2"/>
      <c r="P16" s="2"/>
    </row>
    <row r="17" spans="1:16" x14ac:dyDescent="0.2">
      <c r="A17" s="2" t="s">
        <v>73</v>
      </c>
      <c r="B17" s="2">
        <v>1</v>
      </c>
      <c r="C17" s="2" t="s">
        <v>74</v>
      </c>
      <c r="D17" s="2" t="s">
        <v>75</v>
      </c>
      <c r="E17" s="2" t="s">
        <v>76</v>
      </c>
      <c r="F17" s="2" t="s">
        <v>25</v>
      </c>
      <c r="G17" s="2" t="s">
        <v>77</v>
      </c>
      <c r="H17" s="6">
        <v>0.78</v>
      </c>
      <c r="I17" s="6">
        <f t="shared" si="0"/>
        <v>0.78</v>
      </c>
      <c r="J17" s="6">
        <v>0.48399999999999999</v>
      </c>
      <c r="K17" s="6">
        <f t="shared" si="1"/>
        <v>0.48399999999999999</v>
      </c>
      <c r="L17" s="2"/>
      <c r="M17" s="2"/>
      <c r="N17" s="2"/>
      <c r="O17" s="2"/>
      <c r="P17" s="2"/>
    </row>
    <row r="18" spans="1:16" x14ac:dyDescent="0.2">
      <c r="A18" s="2" t="s">
        <v>78</v>
      </c>
      <c r="B18" s="2">
        <v>1</v>
      </c>
      <c r="C18" s="2" t="s">
        <v>79</v>
      </c>
      <c r="D18" s="2" t="s">
        <v>80</v>
      </c>
      <c r="E18" s="2" t="s">
        <v>81</v>
      </c>
      <c r="F18" s="2" t="s">
        <v>25</v>
      </c>
      <c r="G18" s="2" t="s">
        <v>82</v>
      </c>
      <c r="H18" s="6">
        <v>0.79</v>
      </c>
      <c r="I18" s="6">
        <f t="shared" si="0"/>
        <v>0.79</v>
      </c>
      <c r="J18" s="6">
        <v>0.36899999999999999</v>
      </c>
      <c r="K18" s="6">
        <f t="shared" si="1"/>
        <v>0.36899999999999999</v>
      </c>
      <c r="L18" s="2"/>
      <c r="M18" s="2"/>
      <c r="N18" s="2"/>
      <c r="O18" s="2"/>
      <c r="P18" s="2"/>
    </row>
    <row r="19" spans="1:16" x14ac:dyDescent="0.2">
      <c r="A19" s="2" t="s">
        <v>83</v>
      </c>
      <c r="B19" s="2">
        <v>2</v>
      </c>
      <c r="C19" s="2" t="s">
        <v>84</v>
      </c>
      <c r="D19" s="2" t="s">
        <v>85</v>
      </c>
      <c r="E19" s="2" t="s">
        <v>86</v>
      </c>
      <c r="F19" s="2" t="s">
        <v>25</v>
      </c>
      <c r="G19" s="2" t="s">
        <v>87</v>
      </c>
      <c r="H19" s="6">
        <v>0.27</v>
      </c>
      <c r="I19" s="6">
        <f t="shared" si="0"/>
        <v>0.54</v>
      </c>
      <c r="J19" s="6">
        <v>4.9000000000000002E-2</v>
      </c>
      <c r="K19" s="6">
        <f t="shared" si="1"/>
        <v>9.8000000000000004E-2</v>
      </c>
      <c r="L19" s="2"/>
      <c r="M19" s="2"/>
      <c r="N19" s="2"/>
      <c r="O19" s="2"/>
      <c r="P19" s="2"/>
    </row>
    <row r="20" spans="1:16" x14ac:dyDescent="0.2">
      <c r="A20" s="2" t="s">
        <v>88</v>
      </c>
      <c r="B20" s="2">
        <v>1</v>
      </c>
      <c r="C20" s="2" t="s">
        <v>89</v>
      </c>
      <c r="D20" s="2" t="s">
        <v>90</v>
      </c>
      <c r="E20" s="2" t="s">
        <v>91</v>
      </c>
      <c r="F20" s="2" t="s">
        <v>25</v>
      </c>
      <c r="G20" s="2" t="s">
        <v>92</v>
      </c>
      <c r="H20" s="6">
        <v>0.36</v>
      </c>
      <c r="I20" s="6">
        <f t="shared" si="0"/>
        <v>0.36</v>
      </c>
      <c r="J20" s="6">
        <v>7.5999999999999998E-2</v>
      </c>
      <c r="K20" s="6">
        <f t="shared" si="1"/>
        <v>7.5999999999999998E-2</v>
      </c>
      <c r="L20" s="2"/>
      <c r="M20" s="2"/>
      <c r="N20" s="2"/>
      <c r="O20" s="2"/>
      <c r="P20" s="2"/>
    </row>
    <row r="21" spans="1:16" x14ac:dyDescent="0.2">
      <c r="A21" s="2" t="s">
        <v>93</v>
      </c>
      <c r="B21" s="2">
        <v>5</v>
      </c>
      <c r="C21" s="2" t="s">
        <v>94</v>
      </c>
      <c r="D21" s="2" t="s">
        <v>95</v>
      </c>
      <c r="E21" s="2" t="s">
        <v>96</v>
      </c>
      <c r="F21" s="2" t="s">
        <v>25</v>
      </c>
      <c r="G21" s="2" t="s">
        <v>97</v>
      </c>
      <c r="H21" s="6">
        <v>1.1100000000000001</v>
      </c>
      <c r="I21" s="6">
        <f t="shared" si="0"/>
        <v>5.5500000000000007</v>
      </c>
      <c r="J21" s="6">
        <v>0.34300000000000003</v>
      </c>
      <c r="K21" s="6">
        <f t="shared" si="1"/>
        <v>1.7150000000000001</v>
      </c>
      <c r="L21" s="2"/>
      <c r="M21" s="2"/>
      <c r="N21" s="2"/>
      <c r="O21" s="2"/>
      <c r="P21" s="2"/>
    </row>
    <row r="22" spans="1:16" x14ac:dyDescent="0.2">
      <c r="A22" s="2" t="s">
        <v>98</v>
      </c>
      <c r="B22" s="2">
        <v>1</v>
      </c>
      <c r="C22" s="2" t="s">
        <v>99</v>
      </c>
      <c r="D22" s="2" t="s">
        <v>85</v>
      </c>
      <c r="E22" s="2" t="s">
        <v>100</v>
      </c>
      <c r="F22" s="2" t="s">
        <v>25</v>
      </c>
      <c r="G22" s="2" t="s">
        <v>101</v>
      </c>
      <c r="H22" s="6">
        <v>0.15</v>
      </c>
      <c r="I22" s="6">
        <f t="shared" si="0"/>
        <v>0.15</v>
      </c>
      <c r="J22" s="6">
        <v>4.4999999999999998E-2</v>
      </c>
      <c r="K22" s="6">
        <f t="shared" si="1"/>
        <v>4.4999999999999998E-2</v>
      </c>
      <c r="L22" s="2"/>
      <c r="M22" s="2"/>
      <c r="N22" s="2"/>
      <c r="O22" s="2"/>
      <c r="P22" s="2"/>
    </row>
    <row r="23" spans="1:16" x14ac:dyDescent="0.2">
      <c r="A23" s="2" t="s">
        <v>102</v>
      </c>
      <c r="B23" s="2">
        <v>1</v>
      </c>
      <c r="C23" s="2" t="s">
        <v>103</v>
      </c>
      <c r="D23" s="2" t="s">
        <v>104</v>
      </c>
      <c r="E23" s="2" t="s">
        <v>105</v>
      </c>
      <c r="F23" s="2" t="s">
        <v>25</v>
      </c>
      <c r="G23" s="2" t="s">
        <v>106</v>
      </c>
      <c r="H23" s="6">
        <v>0.71</v>
      </c>
      <c r="I23" s="6">
        <f t="shared" si="0"/>
        <v>0.71</v>
      </c>
      <c r="J23" s="6">
        <v>0.34200000000000003</v>
      </c>
      <c r="K23" s="6">
        <f t="shared" si="1"/>
        <v>0.34200000000000003</v>
      </c>
      <c r="L23" s="2"/>
      <c r="M23" s="2"/>
      <c r="N23" s="2"/>
      <c r="O23" s="2"/>
      <c r="P23" s="2"/>
    </row>
    <row r="24" spans="1:16" x14ac:dyDescent="0.2">
      <c r="A24" s="2" t="s">
        <v>107</v>
      </c>
      <c r="B24" s="2">
        <v>1</v>
      </c>
      <c r="C24" s="2" t="s">
        <v>108</v>
      </c>
      <c r="D24" s="2" t="s">
        <v>104</v>
      </c>
      <c r="E24" s="2" t="s">
        <v>109</v>
      </c>
      <c r="F24" s="2" t="s">
        <v>25</v>
      </c>
      <c r="G24" s="2" t="s">
        <v>110</v>
      </c>
      <c r="H24" s="6">
        <v>0.71</v>
      </c>
      <c r="I24" s="6">
        <f t="shared" si="0"/>
        <v>0.71</v>
      </c>
      <c r="J24" s="6">
        <v>0.34200000000000003</v>
      </c>
      <c r="K24" s="6">
        <f t="shared" si="1"/>
        <v>0.34200000000000003</v>
      </c>
      <c r="L24" s="2"/>
      <c r="M24" s="2"/>
      <c r="N24" s="2"/>
      <c r="O24" s="2"/>
      <c r="P24" s="2"/>
    </row>
    <row r="25" spans="1:16" x14ac:dyDescent="0.2">
      <c r="A25" s="2" t="s">
        <v>111</v>
      </c>
      <c r="B25" s="2">
        <v>1</v>
      </c>
      <c r="C25" s="2" t="s">
        <v>112</v>
      </c>
      <c r="D25" s="2" t="s">
        <v>113</v>
      </c>
      <c r="E25" s="2" t="s">
        <v>112</v>
      </c>
      <c r="F25" s="2" t="s">
        <v>25</v>
      </c>
      <c r="G25" s="2" t="s">
        <v>114</v>
      </c>
      <c r="H25" s="6">
        <v>6.71</v>
      </c>
      <c r="I25" s="6">
        <f t="shared" si="0"/>
        <v>6.71</v>
      </c>
      <c r="J25" s="6">
        <v>3.98</v>
      </c>
      <c r="K25" s="6">
        <f t="shared" si="1"/>
        <v>3.98</v>
      </c>
      <c r="L25" s="2"/>
      <c r="M25" s="2"/>
      <c r="N25" s="2"/>
      <c r="O25" s="2"/>
      <c r="P25" s="2"/>
    </row>
    <row r="26" spans="1:16" x14ac:dyDescent="0.2">
      <c r="A26" s="2" t="s">
        <v>115</v>
      </c>
      <c r="B26" s="2">
        <v>1</v>
      </c>
      <c r="C26" s="2" t="s">
        <v>116</v>
      </c>
      <c r="D26" s="2" t="s">
        <v>117</v>
      </c>
      <c r="E26" s="2" t="s">
        <v>118</v>
      </c>
      <c r="F26" s="2" t="s">
        <v>25</v>
      </c>
      <c r="G26" s="2" t="s">
        <v>119</v>
      </c>
      <c r="H26" s="6">
        <v>0.81</v>
      </c>
      <c r="I26" s="6">
        <f t="shared" si="0"/>
        <v>0.81</v>
      </c>
      <c r="J26" s="6">
        <v>0.38</v>
      </c>
      <c r="K26" s="6">
        <f t="shared" si="1"/>
        <v>0.38</v>
      </c>
      <c r="L26" s="2" t="s">
        <v>120</v>
      </c>
      <c r="M26" s="2" t="s">
        <v>121</v>
      </c>
      <c r="N26" s="2">
        <v>0.39506999999999998</v>
      </c>
      <c r="O26" s="2">
        <v>0.81</v>
      </c>
      <c r="P26" s="2"/>
    </row>
    <row r="27" spans="1:16" x14ac:dyDescent="0.2">
      <c r="A27" s="2" t="s">
        <v>122</v>
      </c>
      <c r="B27" s="2">
        <v>1</v>
      </c>
      <c r="C27" s="2" t="s">
        <v>123</v>
      </c>
      <c r="D27" s="2" t="s">
        <v>124</v>
      </c>
      <c r="E27" s="2" t="s">
        <v>125</v>
      </c>
      <c r="F27" s="2" t="s">
        <v>25</v>
      </c>
      <c r="G27" s="2" t="s">
        <v>126</v>
      </c>
      <c r="H27" s="6">
        <v>3.55</v>
      </c>
      <c r="I27" s="6">
        <f t="shared" si="0"/>
        <v>3.55</v>
      </c>
      <c r="J27" s="6">
        <v>1.31</v>
      </c>
      <c r="K27" s="6">
        <f t="shared" si="1"/>
        <v>1.31</v>
      </c>
      <c r="L27" s="2"/>
      <c r="M27" s="2"/>
      <c r="N27" s="2"/>
      <c r="O27" s="2"/>
      <c r="P27" s="2"/>
    </row>
    <row r="28" spans="1:16" x14ac:dyDescent="0.2">
      <c r="A28" s="2" t="s">
        <v>127</v>
      </c>
      <c r="B28" s="2">
        <v>1</v>
      </c>
      <c r="C28" s="2" t="s">
        <v>128</v>
      </c>
      <c r="D28" s="2" t="s">
        <v>129</v>
      </c>
      <c r="E28" s="2" t="s">
        <v>130</v>
      </c>
      <c r="F28" s="2" t="s">
        <v>25</v>
      </c>
      <c r="G28" s="2" t="s">
        <v>131</v>
      </c>
      <c r="H28" s="6">
        <v>3.52</v>
      </c>
      <c r="I28" s="6">
        <f t="shared" si="0"/>
        <v>3.52</v>
      </c>
      <c r="J28" s="6">
        <v>2.13</v>
      </c>
      <c r="K28" s="6">
        <f t="shared" si="1"/>
        <v>2.13</v>
      </c>
      <c r="L28" s="2"/>
      <c r="M28" s="2"/>
      <c r="N28" s="2"/>
      <c r="O28" s="2"/>
      <c r="P28" s="2"/>
    </row>
    <row r="29" spans="1:16" x14ac:dyDescent="0.2">
      <c r="A29" s="2" t="s">
        <v>132</v>
      </c>
      <c r="B29" s="2">
        <v>1</v>
      </c>
      <c r="C29" s="2" t="s">
        <v>133</v>
      </c>
      <c r="D29" s="2" t="s">
        <v>134</v>
      </c>
      <c r="E29" s="2" t="s">
        <v>135</v>
      </c>
      <c r="F29" s="2" t="s">
        <v>25</v>
      </c>
      <c r="G29" s="2" t="s">
        <v>136</v>
      </c>
      <c r="H29" s="6">
        <v>1.89</v>
      </c>
      <c r="I29" s="6">
        <f t="shared" si="0"/>
        <v>1.89</v>
      </c>
      <c r="J29" s="6">
        <v>1.22</v>
      </c>
      <c r="K29" s="6">
        <f t="shared" si="1"/>
        <v>1.22</v>
      </c>
      <c r="L29" s="2"/>
      <c r="M29" s="2"/>
      <c r="N29" s="2"/>
      <c r="O29" s="2"/>
      <c r="P29" s="2"/>
    </row>
    <row r="30" spans="1:16" x14ac:dyDescent="0.2">
      <c r="A30" s="2" t="s">
        <v>137</v>
      </c>
      <c r="B30" s="2">
        <v>3</v>
      </c>
      <c r="C30" s="2" t="s">
        <v>138</v>
      </c>
      <c r="D30" s="2" t="s">
        <v>139</v>
      </c>
      <c r="E30" s="2" t="s">
        <v>140</v>
      </c>
      <c r="F30" s="2" t="s">
        <v>25</v>
      </c>
      <c r="G30" s="2" t="s">
        <v>141</v>
      </c>
      <c r="H30" s="6">
        <v>0.1</v>
      </c>
      <c r="I30" s="6">
        <f t="shared" si="0"/>
        <v>0.30000000000000004</v>
      </c>
      <c r="J30" s="6">
        <v>7.0999999999999994E-2</v>
      </c>
      <c r="K30" s="6">
        <f t="shared" si="1"/>
        <v>0.21299999999999997</v>
      </c>
      <c r="L30" s="2"/>
      <c r="M30" s="2"/>
      <c r="N30" s="2"/>
      <c r="O30" s="2"/>
      <c r="P30" s="2"/>
    </row>
    <row r="31" spans="1:16" x14ac:dyDescent="0.2">
      <c r="A31" s="2" t="s">
        <v>142</v>
      </c>
      <c r="B31" s="2">
        <v>1</v>
      </c>
      <c r="C31" s="2" t="s">
        <v>143</v>
      </c>
      <c r="D31" s="2" t="s">
        <v>144</v>
      </c>
      <c r="E31" s="2" t="s">
        <v>145</v>
      </c>
      <c r="F31" s="2" t="s">
        <v>25</v>
      </c>
      <c r="G31" s="2" t="s">
        <v>146</v>
      </c>
      <c r="H31" s="6">
        <v>0.17</v>
      </c>
      <c r="I31" s="6">
        <f t="shared" si="0"/>
        <v>0.17</v>
      </c>
      <c r="J31" s="6">
        <v>0.16300000000000001</v>
      </c>
      <c r="K31" s="6">
        <f t="shared" si="1"/>
        <v>0.16300000000000001</v>
      </c>
      <c r="L31" s="2"/>
      <c r="M31" s="2"/>
      <c r="N31" s="2"/>
      <c r="O31" s="2"/>
      <c r="P31" s="2"/>
    </row>
    <row r="32" spans="1:16" x14ac:dyDescent="0.2">
      <c r="A32" s="2" t="s">
        <v>147</v>
      </c>
      <c r="B32" s="2">
        <v>2</v>
      </c>
      <c r="C32" s="2" t="s">
        <v>148</v>
      </c>
      <c r="D32" s="2" t="s">
        <v>95</v>
      </c>
      <c r="E32" s="2" t="s">
        <v>149</v>
      </c>
      <c r="F32" s="2" t="s">
        <v>25</v>
      </c>
      <c r="G32" s="2" t="s">
        <v>150</v>
      </c>
      <c r="H32" s="6">
        <v>0.33</v>
      </c>
      <c r="I32" s="6">
        <f t="shared" si="0"/>
        <v>0.66</v>
      </c>
      <c r="J32" s="6">
        <v>0.19900000000000001</v>
      </c>
      <c r="K32" s="6">
        <f t="shared" si="1"/>
        <v>0.39800000000000002</v>
      </c>
      <c r="L32" s="2"/>
      <c r="M32" s="2"/>
      <c r="N32" s="2"/>
      <c r="O32" s="2"/>
      <c r="P32" s="2"/>
    </row>
    <row r="33" spans="1:16" x14ac:dyDescent="0.2">
      <c r="A33" s="2" t="s">
        <v>151</v>
      </c>
      <c r="B33" s="2">
        <v>6</v>
      </c>
      <c r="C33" s="2" t="s">
        <v>152</v>
      </c>
      <c r="D33" s="2" t="s">
        <v>153</v>
      </c>
      <c r="E33" s="2" t="s">
        <v>154</v>
      </c>
      <c r="F33" s="2" t="s">
        <v>25</v>
      </c>
      <c r="G33" s="2" t="s">
        <v>155</v>
      </c>
      <c r="H33" s="6">
        <v>0.76</v>
      </c>
      <c r="I33" s="6">
        <f t="shared" si="0"/>
        <v>4.5600000000000005</v>
      </c>
      <c r="J33" s="6">
        <v>0.30299999999999999</v>
      </c>
      <c r="K33" s="6">
        <f t="shared" si="1"/>
        <v>1.8180000000000001</v>
      </c>
      <c r="L33" s="2"/>
      <c r="M33" s="2"/>
      <c r="N33" s="2"/>
      <c r="O33" s="2"/>
      <c r="P33" s="2"/>
    </row>
    <row r="34" spans="1:16" x14ac:dyDescent="0.2">
      <c r="A34" s="2" t="s">
        <v>156</v>
      </c>
      <c r="B34" s="2">
        <v>1</v>
      </c>
      <c r="C34" s="2" t="s">
        <v>157</v>
      </c>
      <c r="D34" s="2" t="s">
        <v>158</v>
      </c>
      <c r="E34" s="2" t="s">
        <v>159</v>
      </c>
      <c r="F34" s="2" t="s">
        <v>25</v>
      </c>
      <c r="G34" s="2" t="s">
        <v>160</v>
      </c>
      <c r="H34" s="6">
        <v>0.14000000000000001</v>
      </c>
      <c r="I34" s="6">
        <f t="shared" si="0"/>
        <v>0.14000000000000001</v>
      </c>
      <c r="J34" s="6">
        <v>0.42</v>
      </c>
      <c r="K34" s="6">
        <f t="shared" si="1"/>
        <v>0.42</v>
      </c>
      <c r="L34" s="2"/>
      <c r="M34" s="2"/>
      <c r="N34" s="2"/>
      <c r="O34" s="2"/>
      <c r="P34" s="2"/>
    </row>
    <row r="35" spans="1:16" x14ac:dyDescent="0.2">
      <c r="A35" s="2" t="s">
        <v>161</v>
      </c>
      <c r="B35" s="2">
        <v>2</v>
      </c>
      <c r="C35" s="2" t="s">
        <v>162</v>
      </c>
      <c r="D35" s="2" t="s">
        <v>29</v>
      </c>
      <c r="E35" s="2" t="s">
        <v>163</v>
      </c>
      <c r="F35" s="2" t="s">
        <v>25</v>
      </c>
      <c r="G35" s="2" t="s">
        <v>164</v>
      </c>
      <c r="H35" s="6">
        <v>0.19</v>
      </c>
      <c r="I35" s="6">
        <f t="shared" si="0"/>
        <v>0.38</v>
      </c>
      <c r="J35" s="6">
        <v>1.4999999999999999E-2</v>
      </c>
      <c r="K35" s="6">
        <f t="shared" si="1"/>
        <v>0.03</v>
      </c>
      <c r="L35" s="2"/>
      <c r="M35" s="2"/>
      <c r="N35" s="2"/>
      <c r="O35" s="2"/>
      <c r="P35" s="2"/>
    </row>
    <row r="36" spans="1:16" x14ac:dyDescent="0.2">
      <c r="A36" s="2" t="s">
        <v>165</v>
      </c>
      <c r="B36" s="2">
        <v>1</v>
      </c>
      <c r="C36" s="2" t="s">
        <v>166</v>
      </c>
      <c r="D36" s="2" t="s">
        <v>29</v>
      </c>
      <c r="E36" s="2" t="s">
        <v>167</v>
      </c>
      <c r="F36" s="2" t="s">
        <v>25</v>
      </c>
      <c r="G36" s="2" t="s">
        <v>168</v>
      </c>
      <c r="H36" s="6">
        <v>0.1</v>
      </c>
      <c r="I36" s="6">
        <f t="shared" si="0"/>
        <v>0.1</v>
      </c>
      <c r="J36" s="6">
        <v>2.1000000000000001E-2</v>
      </c>
      <c r="K36" s="6">
        <f t="shared" si="1"/>
        <v>2.1000000000000001E-2</v>
      </c>
      <c r="L36" s="2"/>
      <c r="M36" s="2"/>
      <c r="N36" s="2"/>
      <c r="O36" s="2"/>
      <c r="P36" s="2"/>
    </row>
    <row r="37" spans="1:16" x14ac:dyDescent="0.2">
      <c r="A37" s="2" t="s">
        <v>169</v>
      </c>
      <c r="B37" s="2">
        <v>1</v>
      </c>
      <c r="C37" s="2" t="s">
        <v>170</v>
      </c>
      <c r="D37" s="2" t="s">
        <v>171</v>
      </c>
      <c r="E37" s="2" t="s">
        <v>172</v>
      </c>
      <c r="F37" s="2" t="s">
        <v>25</v>
      </c>
      <c r="G37" s="2" t="s">
        <v>173</v>
      </c>
      <c r="H37" s="6">
        <v>0.1</v>
      </c>
      <c r="I37" s="6">
        <f t="shared" si="0"/>
        <v>0.1</v>
      </c>
      <c r="J37" s="6">
        <v>4.2999999999999997E-2</v>
      </c>
      <c r="K37" s="6">
        <f t="shared" si="1"/>
        <v>4.2999999999999997E-2</v>
      </c>
      <c r="L37" s="2"/>
      <c r="M37" s="2"/>
      <c r="N37" s="2"/>
      <c r="O37" s="2"/>
      <c r="P37" s="2"/>
    </row>
    <row r="38" spans="1:16" x14ac:dyDescent="0.2">
      <c r="A38" s="2" t="s">
        <v>174</v>
      </c>
      <c r="B38" s="2">
        <v>12</v>
      </c>
      <c r="C38" s="2" t="s">
        <v>175</v>
      </c>
      <c r="D38" s="2" t="s">
        <v>29</v>
      </c>
      <c r="E38" s="2" t="s">
        <v>176</v>
      </c>
      <c r="F38" s="2" t="s">
        <v>25</v>
      </c>
      <c r="G38" s="2" t="s">
        <v>177</v>
      </c>
      <c r="H38" s="6">
        <v>0.11</v>
      </c>
      <c r="I38" s="6">
        <f t="shared" ref="I38:I59" si="2">B38*H38</f>
        <v>1.32</v>
      </c>
      <c r="J38" s="6">
        <v>3.1E-2</v>
      </c>
      <c r="K38" s="6">
        <f t="shared" ref="K38:K59" si="3">B38*J38</f>
        <v>0.372</v>
      </c>
      <c r="L38" s="2"/>
      <c r="M38" s="2"/>
      <c r="N38" s="2"/>
      <c r="O38" s="2"/>
      <c r="P38" s="2"/>
    </row>
    <row r="39" spans="1:16" x14ac:dyDescent="0.2">
      <c r="A39" s="2" t="s">
        <v>178</v>
      </c>
      <c r="B39" s="2">
        <v>1</v>
      </c>
      <c r="C39" s="2" t="s">
        <v>179</v>
      </c>
      <c r="D39" s="2" t="s">
        <v>171</v>
      </c>
      <c r="E39" s="2" t="s">
        <v>180</v>
      </c>
      <c r="F39" s="2" t="s">
        <v>25</v>
      </c>
      <c r="G39" s="2" t="s">
        <v>181</v>
      </c>
      <c r="H39" s="6">
        <v>0.1</v>
      </c>
      <c r="I39" s="6">
        <f t="shared" si="2"/>
        <v>0.1</v>
      </c>
      <c r="J39" s="6">
        <v>1.2999999999999999E-2</v>
      </c>
      <c r="K39" s="6">
        <f t="shared" si="3"/>
        <v>1.2999999999999999E-2</v>
      </c>
      <c r="L39" s="2"/>
      <c r="M39" s="2"/>
      <c r="N39" s="2"/>
      <c r="O39" s="2"/>
      <c r="P39" s="2"/>
    </row>
    <row r="40" spans="1:16" x14ac:dyDescent="0.2">
      <c r="A40" s="2" t="s">
        <v>182</v>
      </c>
      <c r="B40" s="2">
        <v>6</v>
      </c>
      <c r="C40" s="2" t="s">
        <v>183</v>
      </c>
      <c r="D40" s="2" t="s">
        <v>29</v>
      </c>
      <c r="E40" s="2" t="s">
        <v>184</v>
      </c>
      <c r="F40" s="2" t="s">
        <v>25</v>
      </c>
      <c r="G40" s="2" t="s">
        <v>185</v>
      </c>
      <c r="H40" s="6">
        <v>0.12</v>
      </c>
      <c r="I40" s="6">
        <f t="shared" si="2"/>
        <v>0.72</v>
      </c>
      <c r="J40" s="6">
        <v>4.1000000000000002E-2</v>
      </c>
      <c r="K40" s="6">
        <f t="shared" si="3"/>
        <v>0.246</v>
      </c>
      <c r="L40" s="2"/>
      <c r="M40" s="2"/>
      <c r="N40" s="2"/>
      <c r="O40" s="2"/>
      <c r="P40" s="2"/>
    </row>
    <row r="41" spans="1:16" x14ac:dyDescent="0.2">
      <c r="A41" s="2" t="s">
        <v>186</v>
      </c>
      <c r="B41" s="2">
        <v>1</v>
      </c>
      <c r="C41" s="2" t="s">
        <v>187</v>
      </c>
      <c r="D41" s="2" t="s">
        <v>90</v>
      </c>
      <c r="E41" s="2" t="s">
        <v>188</v>
      </c>
      <c r="F41" s="2" t="s">
        <v>25</v>
      </c>
      <c r="G41" s="2" t="s">
        <v>189</v>
      </c>
      <c r="H41" s="6">
        <v>0.11</v>
      </c>
      <c r="I41" s="6">
        <f t="shared" si="2"/>
        <v>0.11</v>
      </c>
      <c r="J41" s="6">
        <v>8.9999999999999993E-3</v>
      </c>
      <c r="K41" s="6">
        <f t="shared" si="3"/>
        <v>8.9999999999999993E-3</v>
      </c>
      <c r="L41" s="2"/>
      <c r="M41" s="2"/>
      <c r="N41" s="2"/>
      <c r="O41" s="2"/>
      <c r="P41" s="2"/>
    </row>
    <row r="42" spans="1:16" x14ac:dyDescent="0.2">
      <c r="A42" s="2" t="s">
        <v>190</v>
      </c>
      <c r="B42" s="2">
        <v>1</v>
      </c>
      <c r="C42" s="2" t="s">
        <v>191</v>
      </c>
      <c r="D42" s="2" t="s">
        <v>171</v>
      </c>
      <c r="E42" s="2" t="s">
        <v>192</v>
      </c>
      <c r="F42" s="2" t="s">
        <v>25</v>
      </c>
      <c r="G42" s="2" t="s">
        <v>193</v>
      </c>
      <c r="H42" s="6">
        <v>0.1</v>
      </c>
      <c r="I42" s="6">
        <f t="shared" si="2"/>
        <v>0.1</v>
      </c>
      <c r="J42" s="6">
        <v>4.2000000000000003E-2</v>
      </c>
      <c r="K42" s="6">
        <f t="shared" si="3"/>
        <v>4.2000000000000003E-2</v>
      </c>
      <c r="L42" s="2"/>
      <c r="M42" s="2"/>
      <c r="N42" s="2"/>
      <c r="O42" s="2"/>
      <c r="P42" s="2"/>
    </row>
    <row r="43" spans="1:16" x14ac:dyDescent="0.2">
      <c r="A43" s="2" t="s">
        <v>194</v>
      </c>
      <c r="B43" s="2">
        <v>2</v>
      </c>
      <c r="C43" s="2" t="s">
        <v>195</v>
      </c>
      <c r="D43" s="2" t="s">
        <v>29</v>
      </c>
      <c r="E43" s="2" t="s">
        <v>196</v>
      </c>
      <c r="F43" s="2" t="s">
        <v>25</v>
      </c>
      <c r="G43" s="2" t="s">
        <v>197</v>
      </c>
      <c r="H43" s="6">
        <v>0.11</v>
      </c>
      <c r="I43" s="6">
        <f t="shared" si="2"/>
        <v>0.22</v>
      </c>
      <c r="J43" s="6">
        <v>3.1E-2</v>
      </c>
      <c r="K43" s="6">
        <f t="shared" si="3"/>
        <v>6.2E-2</v>
      </c>
      <c r="L43" s="2"/>
      <c r="M43" s="2"/>
      <c r="N43" s="2"/>
      <c r="O43" s="2"/>
      <c r="P43" s="2"/>
    </row>
    <row r="44" spans="1:16" x14ac:dyDescent="0.2">
      <c r="A44" s="2" t="s">
        <v>198</v>
      </c>
      <c r="B44" s="2">
        <v>1</v>
      </c>
      <c r="C44" s="2" t="s">
        <v>199</v>
      </c>
      <c r="D44" s="2" t="s">
        <v>90</v>
      </c>
      <c r="E44" s="2" t="s">
        <v>200</v>
      </c>
      <c r="F44" s="2" t="s">
        <v>25</v>
      </c>
      <c r="G44" s="2" t="s">
        <v>201</v>
      </c>
      <c r="H44" s="6">
        <v>0.24</v>
      </c>
      <c r="I44" s="6">
        <f t="shared" si="2"/>
        <v>0.24</v>
      </c>
      <c r="J44" s="6">
        <v>0.13900000000000001</v>
      </c>
      <c r="K44" s="6">
        <f t="shared" si="3"/>
        <v>0.13900000000000001</v>
      </c>
      <c r="L44" s="2"/>
      <c r="M44" s="2"/>
      <c r="N44" s="2"/>
      <c r="O44" s="2"/>
      <c r="P44" s="2"/>
    </row>
    <row r="45" spans="1:16" x14ac:dyDescent="0.2">
      <c r="A45" s="2" t="s">
        <v>202</v>
      </c>
      <c r="B45" s="2">
        <v>2</v>
      </c>
      <c r="C45" s="2" t="s">
        <v>203</v>
      </c>
      <c r="D45" s="2" t="s">
        <v>90</v>
      </c>
      <c r="E45" s="2" t="s">
        <v>204</v>
      </c>
      <c r="F45" s="2" t="s">
        <v>25</v>
      </c>
      <c r="G45" s="2" t="s">
        <v>205</v>
      </c>
      <c r="H45" s="6">
        <v>0.17</v>
      </c>
      <c r="I45" s="6">
        <f t="shared" si="2"/>
        <v>0.34</v>
      </c>
      <c r="J45" s="6">
        <v>5.0999999999999997E-2</v>
      </c>
      <c r="K45" s="6">
        <f t="shared" si="3"/>
        <v>0.10199999999999999</v>
      </c>
      <c r="L45" s="2"/>
      <c r="M45" s="2"/>
      <c r="N45" s="2"/>
      <c r="O45" s="2"/>
      <c r="P45" s="2"/>
    </row>
    <row r="46" spans="1:16" x14ac:dyDescent="0.2">
      <c r="A46" s="2" t="s">
        <v>206</v>
      </c>
      <c r="B46" s="2">
        <v>1</v>
      </c>
      <c r="C46" s="2" t="s">
        <v>207</v>
      </c>
      <c r="D46" s="2" t="s">
        <v>29</v>
      </c>
      <c r="E46" s="2" t="s">
        <v>208</v>
      </c>
      <c r="F46" s="2" t="s">
        <v>25</v>
      </c>
      <c r="G46" s="2" t="s">
        <v>209</v>
      </c>
      <c r="H46" s="6">
        <v>0.14000000000000001</v>
      </c>
      <c r="I46" s="6">
        <f t="shared" si="2"/>
        <v>0.14000000000000001</v>
      </c>
      <c r="J46" s="6">
        <v>5.1999999999999998E-2</v>
      </c>
      <c r="K46" s="6">
        <f t="shared" si="3"/>
        <v>5.1999999999999998E-2</v>
      </c>
      <c r="L46" s="2"/>
      <c r="M46" s="2"/>
      <c r="N46" s="2"/>
      <c r="O46" s="2"/>
      <c r="P46" s="2"/>
    </row>
    <row r="47" spans="1:16" x14ac:dyDescent="0.2">
      <c r="A47" s="2" t="s">
        <v>210</v>
      </c>
      <c r="B47" s="2">
        <v>1</v>
      </c>
      <c r="C47" s="2" t="s">
        <v>211</v>
      </c>
      <c r="D47" s="2" t="s">
        <v>171</v>
      </c>
      <c r="E47" s="2" t="s">
        <v>212</v>
      </c>
      <c r="F47" s="2" t="s">
        <v>25</v>
      </c>
      <c r="G47" s="2" t="s">
        <v>213</v>
      </c>
      <c r="H47" s="6">
        <v>0.17</v>
      </c>
      <c r="I47" s="6">
        <f t="shared" si="2"/>
        <v>0.17</v>
      </c>
      <c r="J47" s="6">
        <v>4.8000000000000001E-2</v>
      </c>
      <c r="K47" s="6">
        <f t="shared" si="3"/>
        <v>4.8000000000000001E-2</v>
      </c>
      <c r="L47" s="2"/>
      <c r="M47" s="2"/>
      <c r="N47" s="2"/>
      <c r="O47" s="2"/>
      <c r="P47" s="2"/>
    </row>
    <row r="48" spans="1:16" x14ac:dyDescent="0.2">
      <c r="A48" s="2" t="s">
        <v>214</v>
      </c>
      <c r="B48" s="2">
        <v>2</v>
      </c>
      <c r="C48" s="2" t="s">
        <v>215</v>
      </c>
      <c r="D48" s="2" t="s">
        <v>216</v>
      </c>
      <c r="E48" s="2">
        <v>435151014845</v>
      </c>
      <c r="F48" s="2" t="s">
        <v>25</v>
      </c>
      <c r="G48" s="2" t="s">
        <v>217</v>
      </c>
      <c r="H48" s="6">
        <v>0.54</v>
      </c>
      <c r="I48" s="6">
        <f t="shared" si="2"/>
        <v>1.08</v>
      </c>
      <c r="J48" s="6">
        <v>0.36299999999999999</v>
      </c>
      <c r="K48" s="6">
        <f t="shared" si="3"/>
        <v>0.72599999999999998</v>
      </c>
      <c r="L48" s="2"/>
      <c r="M48" s="2"/>
      <c r="N48" s="2"/>
      <c r="O48" s="2"/>
      <c r="P48" s="2"/>
    </row>
    <row r="49" spans="1:16" x14ac:dyDescent="0.2">
      <c r="A49" s="2" t="s">
        <v>218</v>
      </c>
      <c r="B49" s="2">
        <v>36</v>
      </c>
      <c r="C49" s="2" t="s">
        <v>219</v>
      </c>
      <c r="D49" s="2" t="s">
        <v>220</v>
      </c>
      <c r="E49" s="2">
        <v>5010</v>
      </c>
      <c r="F49" s="2" t="s">
        <v>25</v>
      </c>
      <c r="G49" s="2" t="s">
        <v>221</v>
      </c>
      <c r="H49" s="6">
        <v>0.33</v>
      </c>
      <c r="I49" s="6">
        <f t="shared" si="2"/>
        <v>11.88</v>
      </c>
      <c r="J49" s="6">
        <v>0.188</v>
      </c>
      <c r="K49" s="6">
        <f t="shared" si="3"/>
        <v>6.7679999999999998</v>
      </c>
      <c r="L49" s="2"/>
      <c r="M49" s="2"/>
      <c r="N49" s="2"/>
      <c r="O49" s="2"/>
      <c r="P49" s="2"/>
    </row>
    <row r="50" spans="1:16" x14ac:dyDescent="0.2">
      <c r="A50" s="2" t="s">
        <v>222</v>
      </c>
      <c r="B50" s="2">
        <v>1</v>
      </c>
      <c r="C50" s="2" t="s">
        <v>223</v>
      </c>
      <c r="D50" s="2"/>
      <c r="E50" s="2"/>
      <c r="F50" s="2"/>
      <c r="G50" s="2"/>
      <c r="H50" s="6">
        <v>5</v>
      </c>
      <c r="I50" s="6">
        <f t="shared" si="2"/>
        <v>5</v>
      </c>
      <c r="J50" s="6">
        <v>1</v>
      </c>
      <c r="K50" s="6">
        <f t="shared" si="3"/>
        <v>1</v>
      </c>
      <c r="L50" s="2"/>
      <c r="M50" s="2"/>
      <c r="N50" s="2"/>
      <c r="O50" s="2"/>
      <c r="P50" s="2"/>
    </row>
    <row r="51" spans="1:16" x14ac:dyDescent="0.2">
      <c r="A51" s="2" t="s">
        <v>224</v>
      </c>
      <c r="B51" s="2">
        <v>3</v>
      </c>
      <c r="C51" s="2" t="s">
        <v>225</v>
      </c>
      <c r="D51" s="2" t="s">
        <v>80</v>
      </c>
      <c r="E51" s="8" t="s">
        <v>226</v>
      </c>
      <c r="F51" s="2" t="s">
        <v>25</v>
      </c>
      <c r="G51" s="7" t="s">
        <v>227</v>
      </c>
      <c r="H51" s="6">
        <v>0.23</v>
      </c>
      <c r="I51" s="6">
        <f t="shared" si="2"/>
        <v>0.69000000000000006</v>
      </c>
      <c r="J51" s="6">
        <v>0.111</v>
      </c>
      <c r="K51" s="6">
        <f t="shared" si="3"/>
        <v>0.33300000000000002</v>
      </c>
      <c r="L51" s="2"/>
      <c r="M51" s="2"/>
      <c r="N51" s="2"/>
      <c r="O51" s="2"/>
      <c r="P51" s="2"/>
    </row>
    <row r="52" spans="1:16" x14ac:dyDescent="0.2">
      <c r="A52" s="2" t="s">
        <v>228</v>
      </c>
      <c r="B52" s="2">
        <v>1</v>
      </c>
      <c r="C52" s="2" t="s">
        <v>229</v>
      </c>
      <c r="D52" s="2" t="s">
        <v>62</v>
      </c>
      <c r="E52" s="2" t="s">
        <v>230</v>
      </c>
      <c r="F52" s="2" t="s">
        <v>25</v>
      </c>
      <c r="G52" s="2" t="s">
        <v>231</v>
      </c>
      <c r="H52" s="6">
        <v>0.76</v>
      </c>
      <c r="I52" s="6">
        <f t="shared" si="2"/>
        <v>0.76</v>
      </c>
      <c r="J52" s="6"/>
      <c r="K52" s="6">
        <f t="shared" si="3"/>
        <v>0</v>
      </c>
      <c r="L52" s="2"/>
      <c r="M52" s="2"/>
      <c r="N52" s="2"/>
      <c r="O52" s="2"/>
      <c r="P52" s="2"/>
    </row>
    <row r="53" spans="1:16" x14ac:dyDescent="0.2">
      <c r="A53" s="2" t="s">
        <v>232</v>
      </c>
      <c r="B53" s="2">
        <v>1</v>
      </c>
      <c r="C53" s="2" t="s">
        <v>233</v>
      </c>
      <c r="D53" s="2" t="s">
        <v>62</v>
      </c>
      <c r="E53" s="2" t="s">
        <v>234</v>
      </c>
      <c r="F53" s="2" t="s">
        <v>25</v>
      </c>
      <c r="G53" s="2" t="s">
        <v>235</v>
      </c>
      <c r="H53" s="6">
        <v>1.06</v>
      </c>
      <c r="I53" s="6">
        <f t="shared" si="2"/>
        <v>1.06</v>
      </c>
      <c r="J53" s="6"/>
      <c r="K53" s="6">
        <f t="shared" si="3"/>
        <v>0</v>
      </c>
      <c r="L53" s="2"/>
      <c r="M53" s="2"/>
      <c r="N53" s="2"/>
      <c r="O53" s="2"/>
      <c r="P53" s="2"/>
    </row>
    <row r="54" spans="1:16" x14ac:dyDescent="0.2">
      <c r="A54" s="2" t="s">
        <v>236</v>
      </c>
      <c r="B54" s="2">
        <v>3</v>
      </c>
      <c r="C54" s="2" t="s">
        <v>237</v>
      </c>
      <c r="D54" s="2" t="s">
        <v>62</v>
      </c>
      <c r="E54" s="2" t="s">
        <v>238</v>
      </c>
      <c r="F54" s="2" t="s">
        <v>25</v>
      </c>
      <c r="G54" s="2" t="s">
        <v>239</v>
      </c>
      <c r="H54" s="6">
        <v>1.38</v>
      </c>
      <c r="I54" s="6">
        <f t="shared" si="2"/>
        <v>4.1399999999999997</v>
      </c>
      <c r="J54" s="6"/>
      <c r="K54" s="6">
        <f t="shared" si="3"/>
        <v>0</v>
      </c>
      <c r="L54" s="2"/>
      <c r="M54" s="2"/>
      <c r="N54" s="2"/>
      <c r="O54" s="2"/>
      <c r="P54" s="2"/>
    </row>
    <row r="55" spans="1:16" x14ac:dyDescent="0.2">
      <c r="A55" s="2" t="s">
        <v>240</v>
      </c>
      <c r="B55" s="2">
        <v>1</v>
      </c>
      <c r="C55" s="2" t="s">
        <v>241</v>
      </c>
      <c r="D55" s="2" t="s">
        <v>80</v>
      </c>
      <c r="E55" s="2" t="s">
        <v>242</v>
      </c>
      <c r="F55" s="2" t="s">
        <v>25</v>
      </c>
      <c r="G55" s="7" t="s">
        <v>243</v>
      </c>
      <c r="H55" s="6">
        <v>0.1</v>
      </c>
      <c r="I55" s="6">
        <f t="shared" si="2"/>
        <v>0.1</v>
      </c>
      <c r="J55" s="6"/>
      <c r="K55" s="6">
        <f t="shared" si="3"/>
        <v>0</v>
      </c>
      <c r="L55" s="2"/>
      <c r="M55" s="2"/>
      <c r="N55" s="2"/>
      <c r="O55" s="2"/>
      <c r="P55" s="2"/>
    </row>
    <row r="56" spans="1:16" x14ac:dyDescent="0.2">
      <c r="A56" s="2" t="s">
        <v>244</v>
      </c>
      <c r="B56" s="2">
        <v>4</v>
      </c>
      <c r="C56" s="2" t="s">
        <v>245</v>
      </c>
      <c r="D56" s="2" t="s">
        <v>80</v>
      </c>
      <c r="E56" s="2" t="s">
        <v>246</v>
      </c>
      <c r="F56" s="2" t="s">
        <v>25</v>
      </c>
      <c r="G56" s="7" t="s">
        <v>247</v>
      </c>
      <c r="H56" s="6">
        <v>0.13</v>
      </c>
      <c r="I56" s="6">
        <f t="shared" si="2"/>
        <v>0.52</v>
      </c>
      <c r="J56" s="6"/>
      <c r="K56" s="6">
        <f t="shared" si="3"/>
        <v>0</v>
      </c>
      <c r="L56" s="2"/>
      <c r="M56" s="2"/>
      <c r="N56" s="2"/>
      <c r="O56" s="2"/>
      <c r="P56" s="2"/>
    </row>
    <row r="57" spans="1:16" x14ac:dyDescent="0.2">
      <c r="A57" s="2" t="s">
        <v>248</v>
      </c>
      <c r="B57" s="2">
        <v>1</v>
      </c>
      <c r="C57" s="2" t="s">
        <v>249</v>
      </c>
      <c r="D57" s="2" t="s">
        <v>62</v>
      </c>
      <c r="E57" s="8" t="s">
        <v>250</v>
      </c>
      <c r="F57" s="2" t="s">
        <v>25</v>
      </c>
      <c r="G57" s="7" t="s">
        <v>251</v>
      </c>
      <c r="H57" s="6">
        <v>10.63</v>
      </c>
      <c r="I57" s="6">
        <f t="shared" si="2"/>
        <v>10.63</v>
      </c>
      <c r="J57" s="6"/>
      <c r="K57" s="6">
        <f t="shared" si="3"/>
        <v>0</v>
      </c>
      <c r="L57" s="2"/>
      <c r="M57" s="2"/>
      <c r="N57" s="2"/>
      <c r="O57" s="2"/>
      <c r="P57" s="2"/>
    </row>
    <row r="58" spans="1:16" x14ac:dyDescent="0.2">
      <c r="A58" s="2" t="s">
        <v>252</v>
      </c>
      <c r="B58" s="2">
        <v>1</v>
      </c>
      <c r="C58" s="2" t="s">
        <v>253</v>
      </c>
      <c r="D58" s="2" t="s">
        <v>62</v>
      </c>
      <c r="E58" s="2" t="s">
        <v>254</v>
      </c>
      <c r="F58" s="2" t="s">
        <v>120</v>
      </c>
      <c r="G58" s="2" t="s">
        <v>255</v>
      </c>
      <c r="H58" s="6">
        <v>0.76</v>
      </c>
      <c r="I58" s="6">
        <f t="shared" si="2"/>
        <v>0.76</v>
      </c>
      <c r="J58" s="6">
        <v>0.54100000000000004</v>
      </c>
      <c r="K58" s="6">
        <f t="shared" si="3"/>
        <v>0.54100000000000004</v>
      </c>
      <c r="L58" s="2"/>
      <c r="M58" s="2"/>
      <c r="N58" s="2"/>
      <c r="O58" s="2"/>
      <c r="P58" s="2"/>
    </row>
    <row r="59" spans="1:16" x14ac:dyDescent="0.2">
      <c r="A59" s="2" t="s">
        <v>256</v>
      </c>
      <c r="B59" s="2">
        <v>1</v>
      </c>
      <c r="C59" s="2" t="s">
        <v>257</v>
      </c>
      <c r="D59" s="2" t="s">
        <v>258</v>
      </c>
      <c r="E59" s="2" t="s">
        <v>259</v>
      </c>
      <c r="F59" s="2" t="s">
        <v>120</v>
      </c>
      <c r="G59" s="2" t="s">
        <v>260</v>
      </c>
      <c r="H59" s="6">
        <v>0.22</v>
      </c>
      <c r="I59" s="6">
        <f t="shared" si="2"/>
        <v>0.22</v>
      </c>
      <c r="J59" s="6">
        <v>0.14974999999999999</v>
      </c>
      <c r="K59" s="6">
        <f t="shared" si="3"/>
        <v>0.14974999999999999</v>
      </c>
      <c r="L59" s="2"/>
      <c r="M59" s="2"/>
      <c r="N59" s="2"/>
      <c r="O59" s="2"/>
      <c r="P59" s="2"/>
    </row>
  </sheetData>
  <mergeCells count="2">
    <mergeCell ref="A1:B1"/>
    <mergeCell ref="A2:B2"/>
  </mergeCells>
  <pageMargins left="0.78749999999999998" right="0.78749999999999998" top="1.05277777777778" bottom="1.05277777777778" header="0.78749999999999998" footer="0.78749999999999998"/>
  <pageSetup fitToHeight="0" orientation="landscape" useFirstPageNumber="1" horizontalDpi="300" verticalDpi="300" r:id="rId1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P1012202501-ESP32_Stepper_Contr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Mike Dawson</cp:lastModifiedBy>
  <cp:revision>44</cp:revision>
  <cp:lastPrinted>2026-03-15T16:57:56Z</cp:lastPrinted>
  <dcterms:modified xsi:type="dcterms:W3CDTF">2026-05-21T19:00:28Z</dcterms:modified>
  <dc:language>en-US</dc:language>
</cp:coreProperties>
</file>