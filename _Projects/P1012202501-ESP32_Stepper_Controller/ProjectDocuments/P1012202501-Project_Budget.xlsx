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<sst xmlns="http://schemas.openxmlformats.org/spreadsheetml/2006/main" count="33" uniqueCount="27">
  <si>
    <t xml:space="preserve">Materials Budget:</t>
  </si>
  <si>
    <t xml:space="preserve">Hours Budget:</t>
  </si>
  <si>
    <t xml:space="preserve">Spent to Date:</t>
  </si>
  <si>
    <t xml:space="preserve">Hours Used to Date:</t>
  </si>
  <si>
    <t xml:space="preserve">Remaining Budget:</t>
  </si>
  <si>
    <t xml:space="preserve">Remaining Hours:</t>
  </si>
  <si>
    <t xml:space="preserve">Project Phase: Project Investigation</t>
  </si>
  <si>
    <t xml:space="preserve">Item</t>
  </si>
  <si>
    <t xml:space="preserve">QTY</t>
  </si>
  <si>
    <t xml:space="preserve">Cost</t>
  </si>
  <si>
    <t xml:space="preserve">Extended</t>
  </si>
  <si>
    <t xml:space="preserve">Hours</t>
  </si>
  <si>
    <t xml:space="preserve">Description</t>
  </si>
  <si>
    <t xml:space="preserve">Project Phase: Prototype Build</t>
  </si>
  <si>
    <t xml:space="preserve">PCB</t>
  </si>
  <si>
    <t xml:space="preserve">Top Stencil</t>
  </si>
  <si>
    <t xml:space="preserve">Bottom Stencil</t>
  </si>
  <si>
    <t xml:space="preserve">PCB Shipping</t>
  </si>
  <si>
    <t xml:space="preserve">PCB Duty Fee</t>
  </si>
  <si>
    <t xml:space="preserve">PCB Taxes</t>
  </si>
  <si>
    <t xml:space="preserve">Mouser Components</t>
  </si>
  <si>
    <t xml:space="preserve">Mouser Shipping</t>
  </si>
  <si>
    <t xml:space="preserve">Mouser Duty Fee</t>
  </si>
  <si>
    <t xml:space="preserve">Mouser Taxes</t>
  </si>
  <si>
    <t xml:space="preserve">DigiKey Components</t>
  </si>
  <si>
    <t xml:space="preserve">DigiKey Shipping</t>
  </si>
  <si>
    <t xml:space="preserve">DigiKey Taxes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</si>
</sst>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9" activeCellId="0" sqref="G39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C1" s="2" t="n">
        <v>2000</v>
      </c>
      <c r="E1" s="1" t="s">
        <v>1</v>
      </c>
      <c r="F1" s="1"/>
      <c r="G1" s="1"/>
      <c r="H1" s="3" t="n">
        <v>0</v>
      </c>
    </row>
    <row r="2" customFormat="false" ht="12.8" hidden="false" customHeight="false" outlineLevel="0" collapsed="false">
      <c r="A2" s="1" t="s">
        <v>2</v>
      </c>
      <c r="B2" s="1"/>
      <c r="C2" s="2" t="n">
        <f aca="false">SUM(E10:E53)</f>
        <v>661.26</v>
      </c>
      <c r="E2" s="1" t="s">
        <v>3</v>
      </c>
      <c r="F2" s="1"/>
      <c r="G2" s="1"/>
      <c r="H2" s="3" t="n">
        <f aca="false">SUM(F10:F58)</f>
        <v>0</v>
      </c>
    </row>
    <row r="3" customFormat="false" ht="12.8" hidden="false" customHeight="false" outlineLevel="0" collapsed="false">
      <c r="A3" s="1" t="s">
        <v>4</v>
      </c>
      <c r="B3" s="1"/>
      <c r="C3" s="2" t="n">
        <f aca="false">C1-C2</f>
        <v>1338.74</v>
      </c>
      <c r="E3" s="1" t="s">
        <v>5</v>
      </c>
      <c r="F3" s="1"/>
      <c r="G3" s="1"/>
      <c r="H3" s="3" t="n">
        <f aca="false">H1-H2</f>
        <v>0</v>
      </c>
    </row>
    <row r="4" customFormat="false" ht="12.8" hidden="false" customHeight="false" outlineLevel="0" collapsed="false">
      <c r="A4" s="4"/>
      <c r="B4" s="4"/>
    </row>
    <row r="5" customFormat="false" ht="12.8" hidden="false" customHeight="false" outlineLevel="0" collapsed="false">
      <c r="A5" s="4"/>
      <c r="B5" s="4"/>
    </row>
    <row r="6" customFormat="false" ht="12.8" hidden="false" customHeight="false" outlineLevel="0" collapsed="false">
      <c r="A6" s="4"/>
      <c r="B6" s="4"/>
    </row>
    <row r="7" customFormat="false" ht="12.8" hidden="false" customHeight="false" outlineLevel="0" collapsed="false">
      <c r="A7" s="4"/>
      <c r="B7" s="4"/>
    </row>
    <row r="8" customFormat="false" ht="12.8" hidden="false" customHeight="false" outlineLevel="0" collapsed="false">
      <c r="A8" s="5" t="s">
        <v>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customFormat="false" ht="12.8" hidden="false" customHeight="false" outlineLevel="0" collapsed="false">
      <c r="A9" s="5" t="s">
        <v>7</v>
      </c>
      <c r="B9" s="5"/>
      <c r="C9" s="6" t="s">
        <v>8</v>
      </c>
      <c r="D9" s="6" t="s">
        <v>9</v>
      </c>
      <c r="E9" s="6" t="s">
        <v>10</v>
      </c>
      <c r="F9" s="6" t="s">
        <v>11</v>
      </c>
      <c r="G9" s="7" t="s">
        <v>12</v>
      </c>
      <c r="H9" s="7"/>
      <c r="I9" s="7"/>
      <c r="J9" s="7"/>
      <c r="K9" s="7"/>
      <c r="L9" s="7"/>
      <c r="M9" s="7"/>
    </row>
    <row r="10" customFormat="false" ht="12.8" hidden="false" customHeight="false" outlineLevel="0" collapsed="false">
      <c r="A10" s="5"/>
      <c r="B10" s="5"/>
      <c r="C10" s="6"/>
      <c r="D10" s="2"/>
      <c r="E10" s="2" t="n">
        <f aca="false">C10*D10</f>
        <v>0</v>
      </c>
      <c r="F10" s="3"/>
      <c r="G10" s="8"/>
      <c r="H10" s="8"/>
      <c r="I10" s="8"/>
      <c r="J10" s="8"/>
      <c r="K10" s="8"/>
      <c r="L10" s="8"/>
      <c r="M10" s="8"/>
    </row>
    <row r="11" customFormat="false" ht="12.8" hidden="false" customHeight="false" outlineLevel="0" collapsed="false">
      <c r="A11" s="5"/>
      <c r="B11" s="5"/>
      <c r="C11" s="6"/>
      <c r="D11" s="2"/>
      <c r="E11" s="2" t="n">
        <f aca="false">C11*D11</f>
        <v>0</v>
      </c>
      <c r="F11" s="3"/>
      <c r="G11" s="8"/>
      <c r="H11" s="8"/>
      <c r="I11" s="8"/>
      <c r="J11" s="8"/>
      <c r="K11" s="8"/>
      <c r="L11" s="8"/>
      <c r="M11" s="8"/>
    </row>
    <row r="12" customFormat="false" ht="12.8" hidden="false" customHeight="false" outlineLevel="0" collapsed="false">
      <c r="A12" s="5"/>
      <c r="B12" s="5"/>
      <c r="C12" s="6"/>
      <c r="D12" s="2"/>
      <c r="E12" s="2" t="n">
        <f aca="false">C12*D12</f>
        <v>0</v>
      </c>
      <c r="F12" s="3"/>
      <c r="G12" s="8"/>
      <c r="H12" s="8"/>
      <c r="I12" s="8"/>
      <c r="J12" s="8"/>
      <c r="K12" s="8"/>
      <c r="L12" s="8"/>
      <c r="M12" s="8"/>
    </row>
    <row r="13" customFormat="false" ht="12.8" hidden="false" customHeight="false" outlineLevel="0" collapsed="false">
      <c r="A13" s="5"/>
      <c r="B13" s="5"/>
      <c r="C13" s="6"/>
      <c r="D13" s="2"/>
      <c r="E13" s="2" t="n">
        <f aca="false">C13*D13</f>
        <v>0</v>
      </c>
      <c r="F13" s="3"/>
      <c r="G13" s="8"/>
      <c r="H13" s="8"/>
      <c r="I13" s="8"/>
      <c r="J13" s="8"/>
      <c r="K13" s="8"/>
      <c r="L13" s="8"/>
      <c r="M13" s="8"/>
    </row>
    <row r="14" customFormat="false" ht="12.8" hidden="false" customHeight="false" outlineLevel="0" collapsed="false">
      <c r="A14" s="5"/>
      <c r="B14" s="5"/>
      <c r="C14" s="6"/>
      <c r="D14" s="2"/>
      <c r="E14" s="2" t="n">
        <f aca="false">C14*D14</f>
        <v>0</v>
      </c>
      <c r="F14" s="3"/>
      <c r="G14" s="8"/>
      <c r="H14" s="8"/>
      <c r="I14" s="8"/>
      <c r="J14" s="8"/>
      <c r="K14" s="8"/>
      <c r="L14" s="8"/>
      <c r="M14" s="8"/>
    </row>
    <row r="15" customFormat="false" ht="12.8" hidden="false" customHeight="false" outlineLevel="0" collapsed="false">
      <c r="A15" s="5"/>
      <c r="B15" s="5"/>
      <c r="C15" s="6"/>
      <c r="D15" s="2"/>
      <c r="E15" s="2" t="n">
        <f aca="false">C15*D15</f>
        <v>0</v>
      </c>
      <c r="F15" s="3"/>
      <c r="G15" s="8"/>
      <c r="H15" s="8"/>
      <c r="I15" s="8"/>
      <c r="J15" s="8"/>
      <c r="K15" s="8"/>
      <c r="L15" s="8"/>
      <c r="M15" s="8"/>
    </row>
    <row r="16" customFormat="false" ht="12.8" hidden="false" customHeight="false" outlineLevel="0" collapsed="false">
      <c r="A16" s="5"/>
      <c r="B16" s="5"/>
      <c r="C16" s="6"/>
      <c r="D16" s="2"/>
      <c r="E16" s="2" t="n">
        <f aca="false">C16*D16</f>
        <v>0</v>
      </c>
      <c r="F16" s="3"/>
      <c r="G16" s="8"/>
      <c r="H16" s="8"/>
      <c r="I16" s="8"/>
      <c r="J16" s="8"/>
      <c r="K16" s="8"/>
      <c r="L16" s="8"/>
      <c r="M16" s="8"/>
    </row>
    <row r="17" customFormat="false" ht="12.8" hidden="false" customHeight="false" outlineLevel="0" collapsed="false">
      <c r="A17" s="5"/>
      <c r="B17" s="5"/>
      <c r="C17" s="6"/>
      <c r="D17" s="2"/>
      <c r="E17" s="2" t="n">
        <f aca="false">C17*D17</f>
        <v>0</v>
      </c>
      <c r="F17" s="3"/>
      <c r="G17" s="8"/>
      <c r="H17" s="8"/>
      <c r="I17" s="8"/>
      <c r="J17" s="8"/>
      <c r="K17" s="8"/>
      <c r="L17" s="8"/>
      <c r="M17" s="8"/>
    </row>
    <row r="18" customFormat="false" ht="12.8" hidden="false" customHeight="false" outlineLevel="0" collapsed="false">
      <c r="A18" s="5"/>
      <c r="B18" s="5"/>
      <c r="C18" s="6"/>
      <c r="D18" s="2"/>
      <c r="E18" s="2" t="n">
        <f aca="false">C18*D18</f>
        <v>0</v>
      </c>
      <c r="F18" s="3"/>
      <c r="G18" s="8"/>
      <c r="H18" s="8"/>
      <c r="I18" s="8"/>
      <c r="J18" s="8"/>
      <c r="K18" s="8"/>
      <c r="L18" s="8"/>
      <c r="M18" s="8"/>
    </row>
    <row r="19" customFormat="false" ht="12.8" hidden="false" customHeight="false" outlineLevel="0" collapsed="false">
      <c r="A19" s="5"/>
      <c r="B19" s="5"/>
      <c r="C19" s="6"/>
      <c r="D19" s="2"/>
      <c r="E19" s="2" t="n">
        <f aca="false">C19*D19</f>
        <v>0</v>
      </c>
      <c r="F19" s="3"/>
      <c r="G19" s="8"/>
      <c r="H19" s="8"/>
      <c r="I19" s="8"/>
      <c r="J19" s="8"/>
      <c r="K19" s="8"/>
      <c r="L19" s="8"/>
      <c r="M19" s="8"/>
    </row>
    <row r="20" customFormat="false" ht="12.8" hidden="false" customHeight="false" outlineLevel="0" collapsed="false">
      <c r="A20" s="5"/>
      <c r="B20" s="5"/>
      <c r="C20" s="6"/>
      <c r="D20" s="2"/>
      <c r="E20" s="2" t="n">
        <f aca="false">C20*D20</f>
        <v>0</v>
      </c>
      <c r="F20" s="3"/>
      <c r="G20" s="8"/>
      <c r="H20" s="8"/>
      <c r="I20" s="8"/>
      <c r="J20" s="8"/>
      <c r="K20" s="8"/>
      <c r="L20" s="8"/>
      <c r="M20" s="8"/>
    </row>
    <row r="21" customFormat="false" ht="12.8" hidden="false" customHeight="false" outlineLevel="0" collapsed="false">
      <c r="A21" s="5"/>
      <c r="B21" s="5"/>
      <c r="C21" s="6"/>
      <c r="D21" s="2"/>
      <c r="E21" s="2" t="n">
        <f aca="false">C21*D21</f>
        <v>0</v>
      </c>
      <c r="F21" s="3"/>
      <c r="G21" s="8"/>
      <c r="H21" s="8"/>
      <c r="I21" s="8"/>
      <c r="J21" s="8"/>
      <c r="K21" s="8"/>
      <c r="L21" s="8"/>
      <c r="M21" s="8"/>
    </row>
    <row r="22" customFormat="false" ht="12.8" hidden="false" customHeight="false" outlineLevel="0" collapsed="false">
      <c r="A22" s="5"/>
      <c r="B22" s="5"/>
      <c r="C22" s="6"/>
      <c r="D22" s="2"/>
      <c r="E22" s="2" t="n">
        <f aca="false">C22*D22</f>
        <v>0</v>
      </c>
      <c r="F22" s="3"/>
      <c r="G22" s="8"/>
      <c r="H22" s="8"/>
      <c r="I22" s="8"/>
      <c r="J22" s="8"/>
      <c r="K22" s="8"/>
      <c r="L22" s="8"/>
      <c r="M22" s="8"/>
    </row>
    <row r="23" customFormat="false" ht="12.8" hidden="false" customHeight="false" outlineLevel="0" collapsed="false">
      <c r="A23" s="4"/>
      <c r="B23" s="4"/>
      <c r="G23" s="9"/>
      <c r="H23" s="9"/>
      <c r="I23" s="9"/>
      <c r="J23" s="9"/>
      <c r="K23" s="9"/>
      <c r="L23" s="9"/>
      <c r="M23" s="9"/>
    </row>
    <row r="24" customFormat="false" ht="12.8" hidden="false" customHeight="false" outlineLevel="0" collapsed="false">
      <c r="A24" s="4"/>
      <c r="B24" s="4"/>
      <c r="G24" s="9"/>
      <c r="H24" s="9"/>
      <c r="I24" s="9"/>
      <c r="J24" s="9"/>
      <c r="K24" s="9"/>
      <c r="L24" s="9"/>
      <c r="M24" s="9"/>
    </row>
    <row r="25" customFormat="false" ht="12.8" hidden="false" customHeight="false" outlineLevel="0" collapsed="false">
      <c r="A25" s="4"/>
      <c r="B25" s="4"/>
      <c r="G25" s="9"/>
      <c r="H25" s="9"/>
      <c r="I25" s="9"/>
      <c r="J25" s="9"/>
      <c r="K25" s="9"/>
      <c r="L25" s="9"/>
      <c r="M25" s="9"/>
    </row>
    <row r="26" customFormat="false" ht="12.8" hidden="false" customHeight="false" outlineLevel="0" collapsed="false">
      <c r="G26" s="9"/>
      <c r="H26" s="9"/>
      <c r="I26" s="9"/>
      <c r="J26" s="9"/>
      <c r="K26" s="9"/>
      <c r="L26" s="9"/>
      <c r="M26" s="9"/>
    </row>
    <row r="28" customFormat="false" ht="12.8" hidden="false" customHeight="false" outlineLevel="0" collapsed="false">
      <c r="A28" s="5" t="s">
        <v>13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</row>
    <row r="29" customFormat="false" ht="12.8" hidden="false" customHeight="false" outlineLevel="0" collapsed="false">
      <c r="A29" s="5" t="s">
        <v>7</v>
      </c>
      <c r="B29" s="5"/>
      <c r="C29" s="6" t="s">
        <v>8</v>
      </c>
      <c r="D29" s="6" t="s">
        <v>9</v>
      </c>
      <c r="E29" s="6" t="s">
        <v>10</v>
      </c>
      <c r="F29" s="6" t="s">
        <v>11</v>
      </c>
      <c r="G29" s="7" t="s">
        <v>12</v>
      </c>
      <c r="H29" s="7"/>
      <c r="I29" s="7"/>
      <c r="J29" s="7"/>
      <c r="K29" s="7"/>
      <c r="L29" s="7"/>
      <c r="M29" s="7"/>
    </row>
    <row r="30" customFormat="false" ht="12.8" hidden="false" customHeight="false" outlineLevel="0" collapsed="false">
      <c r="A30" s="5" t="s">
        <v>14</v>
      </c>
      <c r="B30" s="5"/>
      <c r="C30" s="6" t="n">
        <v>10</v>
      </c>
      <c r="D30" s="2" t="n">
        <v>8.11</v>
      </c>
      <c r="E30" s="2" t="n">
        <f aca="false">C30*D30</f>
        <v>81.1</v>
      </c>
      <c r="F30" s="3"/>
      <c r="G30" s="8"/>
      <c r="H30" s="8"/>
      <c r="I30" s="8"/>
      <c r="J30" s="8"/>
      <c r="K30" s="8"/>
      <c r="L30" s="8"/>
      <c r="M30" s="8"/>
    </row>
    <row r="31" customFormat="false" ht="12.8" hidden="false" customHeight="false" outlineLevel="0" collapsed="false">
      <c r="A31" s="5" t="s">
        <v>15</v>
      </c>
      <c r="B31" s="5"/>
      <c r="C31" s="6" t="n">
        <v>1</v>
      </c>
      <c r="D31" s="2" t="n">
        <v>15.43</v>
      </c>
      <c r="E31" s="2" t="n">
        <f aca="false">C31*D31</f>
        <v>15.43</v>
      </c>
      <c r="F31" s="3"/>
      <c r="G31" s="8"/>
      <c r="H31" s="8"/>
      <c r="I31" s="8"/>
      <c r="J31" s="8"/>
      <c r="K31" s="8"/>
      <c r="L31" s="8"/>
      <c r="M31" s="8"/>
    </row>
    <row r="32" customFormat="false" ht="12.8" hidden="false" customHeight="false" outlineLevel="0" collapsed="false">
      <c r="A32" s="5" t="s">
        <v>16</v>
      </c>
      <c r="B32" s="5"/>
      <c r="C32" s="6" t="n">
        <v>1</v>
      </c>
      <c r="D32" s="2" t="n">
        <v>15.43</v>
      </c>
      <c r="E32" s="2" t="n">
        <f aca="false">C32*D32</f>
        <v>15.43</v>
      </c>
      <c r="F32" s="3"/>
      <c r="G32" s="8"/>
      <c r="H32" s="8"/>
      <c r="I32" s="8"/>
      <c r="J32" s="8"/>
      <c r="K32" s="8"/>
      <c r="L32" s="8"/>
      <c r="M32" s="8"/>
    </row>
    <row r="33" customFormat="false" ht="12.8" hidden="false" customHeight="false" outlineLevel="0" collapsed="false">
      <c r="A33" s="5" t="s">
        <v>17</v>
      </c>
      <c r="B33" s="5"/>
      <c r="C33" s="6" t="n">
        <v>1</v>
      </c>
      <c r="D33" s="2" t="n">
        <v>83.57</v>
      </c>
      <c r="E33" s="2" t="n">
        <f aca="false">C33*D33</f>
        <v>83.57</v>
      </c>
      <c r="F33" s="3"/>
      <c r="G33" s="8"/>
      <c r="H33" s="8"/>
      <c r="I33" s="8"/>
      <c r="J33" s="8"/>
      <c r="K33" s="8"/>
      <c r="L33" s="8"/>
      <c r="M33" s="8"/>
    </row>
    <row r="34" customFormat="false" ht="12.8" hidden="false" customHeight="false" outlineLevel="0" collapsed="false">
      <c r="A34" s="5" t="s">
        <v>18</v>
      </c>
      <c r="B34" s="5"/>
      <c r="C34" s="6" t="n">
        <v>1</v>
      </c>
      <c r="D34" s="2" t="n">
        <v>67.36</v>
      </c>
      <c r="E34" s="2" t="n">
        <f aca="false">C34*D34</f>
        <v>67.36</v>
      </c>
      <c r="F34" s="3"/>
      <c r="G34" s="8"/>
      <c r="H34" s="8"/>
      <c r="I34" s="8"/>
      <c r="J34" s="8"/>
      <c r="K34" s="8"/>
      <c r="L34" s="8"/>
      <c r="M34" s="8"/>
    </row>
    <row r="35" customFormat="false" ht="12.8" hidden="false" customHeight="false" outlineLevel="0" collapsed="false">
      <c r="A35" s="5" t="s">
        <v>19</v>
      </c>
      <c r="B35" s="5"/>
      <c r="C35" s="6" t="n">
        <v>1</v>
      </c>
      <c r="D35" s="2" t="n">
        <v>13.2</v>
      </c>
      <c r="E35" s="2" t="n">
        <f aca="false">C35*D35</f>
        <v>13.2</v>
      </c>
      <c r="F35" s="3"/>
      <c r="G35" s="8"/>
      <c r="H35" s="8"/>
      <c r="I35" s="8"/>
      <c r="J35" s="8"/>
      <c r="K35" s="8"/>
      <c r="L35" s="8"/>
      <c r="M35" s="8"/>
    </row>
    <row r="36" customFormat="false" ht="12.8" hidden="false" customHeight="false" outlineLevel="0" collapsed="false">
      <c r="A36" s="5" t="s">
        <v>20</v>
      </c>
      <c r="B36" s="5"/>
      <c r="C36" s="6" t="n">
        <v>1</v>
      </c>
      <c r="D36" s="2" t="n">
        <v>308.53</v>
      </c>
      <c r="E36" s="2" t="n">
        <f aca="false">C36*D36</f>
        <v>308.53</v>
      </c>
      <c r="F36" s="3"/>
      <c r="G36" s="8"/>
      <c r="H36" s="8"/>
      <c r="I36" s="8"/>
      <c r="J36" s="8"/>
      <c r="K36" s="8"/>
      <c r="L36" s="8"/>
      <c r="M36" s="8"/>
    </row>
    <row r="37" customFormat="false" ht="12.8" hidden="false" customHeight="false" outlineLevel="0" collapsed="false">
      <c r="A37" s="5" t="s">
        <v>21</v>
      </c>
      <c r="B37" s="5"/>
      <c r="C37" s="6" t="n">
        <v>1</v>
      </c>
      <c r="D37" s="2" t="n">
        <v>10.99</v>
      </c>
      <c r="E37" s="2" t="n">
        <f aca="false">C37*D37</f>
        <v>10.99</v>
      </c>
      <c r="F37" s="3"/>
      <c r="G37" s="8"/>
      <c r="H37" s="8"/>
      <c r="I37" s="8"/>
      <c r="J37" s="8"/>
      <c r="K37" s="8"/>
      <c r="L37" s="8"/>
      <c r="M37" s="8"/>
    </row>
    <row r="38" customFormat="false" ht="12.8" hidden="false" customHeight="false" outlineLevel="0" collapsed="false">
      <c r="A38" s="5" t="s">
        <v>22</v>
      </c>
      <c r="B38" s="5"/>
      <c r="C38" s="6" t="n">
        <v>1</v>
      </c>
      <c r="D38" s="2" t="n">
        <v>49.52</v>
      </c>
      <c r="E38" s="2" t="n">
        <f aca="false">C38*D38</f>
        <v>49.52</v>
      </c>
      <c r="F38" s="3"/>
      <c r="G38" s="8"/>
      <c r="H38" s="8"/>
      <c r="I38" s="8"/>
      <c r="J38" s="8"/>
      <c r="K38" s="8"/>
      <c r="L38" s="8"/>
      <c r="M38" s="8"/>
    </row>
    <row r="39" customFormat="false" ht="12.8" hidden="false" customHeight="false" outlineLevel="0" collapsed="false">
      <c r="A39" s="5" t="s">
        <v>23</v>
      </c>
      <c r="B39" s="5"/>
      <c r="C39" s="6" t="n">
        <v>1</v>
      </c>
      <c r="D39" s="2"/>
      <c r="E39" s="2" t="n">
        <f aca="false">C39*D39</f>
        <v>0</v>
      </c>
      <c r="F39" s="3"/>
      <c r="G39" s="8"/>
      <c r="H39" s="8"/>
      <c r="I39" s="8"/>
      <c r="J39" s="8"/>
      <c r="K39" s="8"/>
      <c r="L39" s="8"/>
      <c r="M39" s="8"/>
    </row>
    <row r="40" customFormat="false" ht="12.8" hidden="false" customHeight="false" outlineLevel="0" collapsed="false">
      <c r="A40" s="5" t="s">
        <v>24</v>
      </c>
      <c r="B40" s="5"/>
      <c r="C40" s="6" t="n">
        <v>1</v>
      </c>
      <c r="D40" s="2" t="n">
        <v>8.12</v>
      </c>
      <c r="E40" s="2" t="n">
        <f aca="false">C40*D40</f>
        <v>8.12</v>
      </c>
      <c r="F40" s="3"/>
      <c r="G40" s="8"/>
      <c r="H40" s="8"/>
      <c r="I40" s="8"/>
      <c r="J40" s="8"/>
      <c r="K40" s="8"/>
      <c r="L40" s="8"/>
      <c r="M40" s="8"/>
    </row>
    <row r="41" customFormat="false" ht="12.8" hidden="false" customHeight="false" outlineLevel="0" collapsed="false">
      <c r="A41" s="5" t="s">
        <v>25</v>
      </c>
      <c r="B41" s="5"/>
      <c r="C41" s="6" t="n">
        <v>1</v>
      </c>
      <c r="D41" s="2" t="n">
        <v>6.99</v>
      </c>
      <c r="E41" s="2" t="n">
        <f aca="false">C41*D41</f>
        <v>6.99</v>
      </c>
      <c r="F41" s="3"/>
      <c r="G41" s="8"/>
      <c r="H41" s="8"/>
      <c r="I41" s="8"/>
      <c r="J41" s="8"/>
      <c r="K41" s="8"/>
      <c r="L41" s="8"/>
      <c r="M41" s="8"/>
    </row>
    <row r="42" customFormat="false" ht="12.8" hidden="false" customHeight="false" outlineLevel="0" collapsed="false">
      <c r="A42" s="5" t="s">
        <v>26</v>
      </c>
      <c r="B42" s="5"/>
      <c r="C42" s="6" t="n">
        <v>1</v>
      </c>
      <c r="D42" s="2" t="n">
        <v>1.02</v>
      </c>
      <c r="E42" s="2" t="n">
        <f aca="false">C42*D42</f>
        <v>1.02</v>
      </c>
      <c r="F42" s="3"/>
      <c r="G42" s="8"/>
      <c r="H42" s="8"/>
      <c r="I42" s="8"/>
      <c r="J42" s="8"/>
      <c r="K42" s="8"/>
      <c r="L42" s="8"/>
      <c r="M42" s="8"/>
    </row>
    <row r="43" customFormat="false" ht="12.8" hidden="false" customHeight="false" outlineLevel="0" collapsed="false">
      <c r="A43" s="5"/>
      <c r="B43" s="5"/>
      <c r="C43" s="6"/>
      <c r="D43" s="2"/>
      <c r="E43" s="2" t="n">
        <f aca="false">C43*D43</f>
        <v>0</v>
      </c>
      <c r="F43" s="3"/>
      <c r="G43" s="8"/>
      <c r="H43" s="8"/>
      <c r="I43" s="8"/>
      <c r="J43" s="8"/>
      <c r="K43" s="8"/>
      <c r="L43" s="8"/>
      <c r="M43" s="8"/>
    </row>
    <row r="44" customFormat="false" ht="12.8" hidden="false" customHeight="false" outlineLevel="0" collapsed="false">
      <c r="A44" s="5"/>
      <c r="B44" s="5"/>
      <c r="C44" s="6"/>
      <c r="D44" s="2"/>
      <c r="E44" s="2" t="n">
        <f aca="false">C44*D44</f>
        <v>0</v>
      </c>
      <c r="F44" s="3"/>
      <c r="G44" s="8"/>
      <c r="H44" s="8"/>
      <c r="I44" s="8"/>
      <c r="J44" s="8"/>
      <c r="K44" s="8"/>
      <c r="L44" s="8"/>
      <c r="M44" s="8"/>
    </row>
  </sheetData>
  <mergeCells count="79">
    <mergeCell ref="A1:B1"/>
    <mergeCell ref="E1:G1"/>
    <mergeCell ref="A2:B2"/>
    <mergeCell ref="E2:G2"/>
    <mergeCell ref="A3:B3"/>
    <mergeCell ref="E3:G3"/>
    <mergeCell ref="A4:B4"/>
    <mergeCell ref="A5:B5"/>
    <mergeCell ref="A6:B6"/>
    <mergeCell ref="A7:B7"/>
    <mergeCell ref="A8:M8"/>
    <mergeCell ref="A9:B9"/>
    <mergeCell ref="G9:M9"/>
    <mergeCell ref="A10:B10"/>
    <mergeCell ref="G10:M10"/>
    <mergeCell ref="A11:B11"/>
    <mergeCell ref="G11:M11"/>
    <mergeCell ref="A12:B12"/>
    <mergeCell ref="G12:M12"/>
    <mergeCell ref="A13:B13"/>
    <mergeCell ref="G13:M13"/>
    <mergeCell ref="A14:B14"/>
    <mergeCell ref="G14:M14"/>
    <mergeCell ref="A15:B15"/>
    <mergeCell ref="G15:M15"/>
    <mergeCell ref="A16:B16"/>
    <mergeCell ref="G16:M16"/>
    <mergeCell ref="A17:B17"/>
    <mergeCell ref="G17:M17"/>
    <mergeCell ref="A18:B18"/>
    <mergeCell ref="G18:M18"/>
    <mergeCell ref="A19:B19"/>
    <mergeCell ref="G19:M19"/>
    <mergeCell ref="A20:B20"/>
    <mergeCell ref="G20:M20"/>
    <mergeCell ref="A21:B21"/>
    <mergeCell ref="G21:M21"/>
    <mergeCell ref="A22:B22"/>
    <mergeCell ref="G22:M22"/>
    <mergeCell ref="A23:B23"/>
    <mergeCell ref="G23:M23"/>
    <mergeCell ref="A24:B24"/>
    <mergeCell ref="G24:M24"/>
    <mergeCell ref="A25:B25"/>
    <mergeCell ref="G25:M25"/>
    <mergeCell ref="G26:M26"/>
    <mergeCell ref="A28:M28"/>
    <mergeCell ref="A29:B29"/>
    <mergeCell ref="G29:M29"/>
    <mergeCell ref="A30:B30"/>
    <mergeCell ref="G30:M30"/>
    <mergeCell ref="A31:B31"/>
    <mergeCell ref="G31:M31"/>
    <mergeCell ref="A32:B32"/>
    <mergeCell ref="G32:M32"/>
    <mergeCell ref="A33:B33"/>
    <mergeCell ref="G33:M33"/>
    <mergeCell ref="A34:B34"/>
    <mergeCell ref="G34:M34"/>
    <mergeCell ref="A35:B35"/>
    <mergeCell ref="G35:M35"/>
    <mergeCell ref="A36:B36"/>
    <mergeCell ref="G36:M36"/>
    <mergeCell ref="A37:B37"/>
    <mergeCell ref="G37:M37"/>
    <mergeCell ref="A38:B38"/>
    <mergeCell ref="G38:M38"/>
    <mergeCell ref="A39:B39"/>
    <mergeCell ref="G39:M39"/>
    <mergeCell ref="A40:B40"/>
    <mergeCell ref="G40:M40"/>
    <mergeCell ref="A41:B41"/>
    <mergeCell ref="G41:M41"/>
    <mergeCell ref="A42:B42"/>
    <mergeCell ref="G42:M42"/>
    <mergeCell ref="A43:B43"/>
    <mergeCell ref="G43:M43"/>
    <mergeCell ref="A44:B44"/>
    <mergeCell ref="G44:M44"/>
  </mergeCells>
  <conditionalFormatting sqref="C3">
    <cfRule type="cellIs" priority="2" operator="greaterThan" aboveAverage="0" equalAverage="0" bottom="0" percent="0" rank="0" text="" dxfId="0">
      <formula>0</formula>
    </cfRule>
  </conditionalFormatting>
  <conditionalFormatting sqref="C3">
    <cfRule type="cellIs" priority="3" operator="lessThan" aboveAverage="0" equalAverage="0" bottom="0" percent="0" rank="0" text="" dxfId="1">
      <formula>0</formula>
    </cfRule>
  </conditionalFormatting>
  <conditionalFormatting sqref="H3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&amp;P&amp;R&amp;"Times New Roman,Regular"&amp;12V 1.0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2025-10-15T19:05:52Z</dcterms:created>
  <dc:creator/>
  <dc:description/>
  <dc:language>en-US</dc:language>
  <cp:lastModifiedBy/>
  <dcterms:modified xsi:type="dcterms:W3CDTF">2025-12-13T14:21:38Z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